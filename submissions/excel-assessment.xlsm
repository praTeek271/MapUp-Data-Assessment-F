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anton\Downloads\MapUp-Data-Assessment-F-main\"/>
    </mc:Choice>
  </mc:AlternateContent>
  <xr:revisionPtr revIDLastSave="0" documentId="13_ncr:1_{7236E241-17A0-47E6-8CA1-860E7D7B67A8}" xr6:coauthVersionLast="47" xr6:coauthVersionMax="47" xr10:uidLastSave="{00000000-0000-0000-0000-000000000000}"/>
  <bookViews>
    <workbookView xWindow="-110" yWindow="-110" windowWidth="19420" windowHeight="1102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_xlnm._FilterDatabase" localSheetId="4" hidden="1">Task_3!$A$15:$F$54</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mes">Dataset!$A$2:$A$40</definedName>
  </definedNames>
  <calcPr calcId="191029" iterate="1"/>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c r="D12" i="19"/>
  <c r="D13" i="19"/>
  <c r="D14" i="19"/>
  <c r="D15" i="19"/>
  <c r="D16" i="19"/>
  <c r="D17" i="19"/>
  <c r="D18" i="19"/>
  <c r="D19" i="19"/>
  <c r="D20" i="19"/>
  <c r="D21" i="19"/>
  <c r="B6" i="18"/>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11" i="15"/>
  <c r="H11" i="15"/>
  <c r="J28" i="15"/>
  <c r="K28" i="15"/>
  <c r="L28" i="15"/>
  <c r="J29" i="15"/>
  <c r="K29" i="15"/>
  <c r="L29" i="15"/>
  <c r="J30" i="15"/>
  <c r="K30" i="15"/>
  <c r="L30" i="15"/>
  <c r="J31" i="15"/>
  <c r="K31" i="15"/>
  <c r="L31" i="15"/>
  <c r="J32" i="15"/>
  <c r="K32" i="15"/>
  <c r="L32" i="15"/>
  <c r="J33" i="15"/>
  <c r="K33" i="15"/>
  <c r="L33" i="15"/>
  <c r="J34" i="15"/>
  <c r="K34" i="15"/>
  <c r="L34" i="15"/>
  <c r="J35" i="15"/>
  <c r="K35" i="15"/>
  <c r="L35" i="15"/>
  <c r="J36" i="15"/>
  <c r="K36" i="15"/>
  <c r="L36" i="15"/>
  <c r="J37" i="15"/>
  <c r="K37" i="15"/>
  <c r="L37" i="15"/>
  <c r="A44" i="15"/>
  <c r="B44" i="15"/>
  <c r="C44" i="15"/>
  <c r="D44" i="15"/>
  <c r="E44" i="15"/>
  <c r="F44" i="15"/>
  <c r="G44" i="15"/>
  <c r="H44" i="15"/>
  <c r="I44" i="15"/>
  <c r="J44" i="15"/>
  <c r="K44" i="15"/>
  <c r="L44" i="15"/>
  <c r="M44" i="15"/>
  <c r="N44" i="15"/>
  <c r="O44" i="15"/>
  <c r="P44" i="15"/>
  <c r="Q44" i="15"/>
  <c r="R44" i="15"/>
  <c r="S44" i="15"/>
  <c r="T44" i="15"/>
  <c r="U44" i="15"/>
  <c r="V44" i="15"/>
  <c r="W44" i="15"/>
  <c r="A45" i="15"/>
  <c r="B45" i="15"/>
  <c r="C45" i="15"/>
  <c r="D45" i="15"/>
  <c r="E45" i="15"/>
  <c r="F45" i="15"/>
  <c r="G45" i="15"/>
  <c r="H45" i="15"/>
  <c r="I45" i="15"/>
  <c r="J45" i="15"/>
  <c r="K45" i="15"/>
  <c r="L45" i="15"/>
  <c r="M45" i="15"/>
  <c r="N45" i="15"/>
  <c r="O45" i="15"/>
  <c r="P45" i="15"/>
  <c r="Q45" i="15"/>
  <c r="R45" i="15"/>
  <c r="S45" i="15"/>
  <c r="T45" i="15"/>
  <c r="U45" i="15"/>
  <c r="V45" i="15"/>
  <c r="W45" i="15"/>
  <c r="A46" i="15"/>
  <c r="B46" i="15"/>
  <c r="C46" i="15"/>
  <c r="D46" i="15"/>
  <c r="E46" i="15"/>
  <c r="F46" i="15"/>
  <c r="G46" i="15"/>
  <c r="H46" i="15"/>
  <c r="I46" i="15"/>
  <c r="J46" i="15"/>
  <c r="K46" i="15"/>
  <c r="L46" i="15"/>
  <c r="M46" i="15"/>
  <c r="N46" i="15"/>
  <c r="O46" i="15"/>
  <c r="P46" i="15"/>
  <c r="Q46" i="15"/>
  <c r="R46" i="15"/>
  <c r="S46" i="15"/>
  <c r="T46" i="15"/>
  <c r="U46" i="15"/>
  <c r="V46" i="15"/>
  <c r="W46" i="15"/>
  <c r="A47" i="15"/>
  <c r="B47" i="15"/>
  <c r="C47" i="15"/>
  <c r="D47" i="15"/>
  <c r="E47" i="15"/>
  <c r="F47" i="15"/>
  <c r="G47" i="15"/>
  <c r="H47" i="15"/>
  <c r="I47" i="15"/>
  <c r="J47" i="15"/>
  <c r="K47" i="15"/>
  <c r="L47" i="15"/>
  <c r="M47" i="15"/>
  <c r="N47" i="15"/>
  <c r="O47" i="15"/>
  <c r="P47" i="15"/>
  <c r="Q47" i="15"/>
  <c r="R47" i="15"/>
  <c r="S47" i="15"/>
  <c r="T47" i="15"/>
  <c r="U47" i="15"/>
  <c r="V47" i="15"/>
  <c r="W47" i="15"/>
  <c r="A48" i="15"/>
  <c r="B48" i="15"/>
  <c r="C48" i="15"/>
  <c r="D48" i="15"/>
  <c r="E48" i="15"/>
  <c r="F48" i="15"/>
  <c r="G48" i="15"/>
  <c r="H48" i="15"/>
  <c r="I48" i="15"/>
  <c r="J48" i="15"/>
  <c r="K48" i="15"/>
  <c r="L48" i="15"/>
  <c r="M48" i="15"/>
  <c r="N48" i="15"/>
  <c r="O48" i="15"/>
  <c r="P48" i="15"/>
  <c r="Q48" i="15"/>
  <c r="R48" i="15"/>
  <c r="S48" i="15"/>
  <c r="T48" i="15"/>
  <c r="U48" i="15"/>
  <c r="V48" i="15"/>
  <c r="W48" i="15"/>
  <c r="A49" i="15"/>
  <c r="B49" i="15"/>
  <c r="C49" i="15"/>
  <c r="D49" i="15"/>
  <c r="E49" i="15"/>
  <c r="F49" i="15"/>
  <c r="G49" i="15"/>
  <c r="H49" i="15"/>
  <c r="I49" i="15"/>
  <c r="J49" i="15"/>
  <c r="K49" i="15"/>
  <c r="L49" i="15"/>
  <c r="M49" i="15"/>
  <c r="N49" i="15"/>
  <c r="O49" i="15"/>
  <c r="P49" i="15"/>
  <c r="Q49" i="15"/>
  <c r="R49" i="15"/>
  <c r="S49" i="15"/>
  <c r="T49" i="15"/>
  <c r="U49" i="15"/>
  <c r="V49" i="15"/>
  <c r="W49" i="15"/>
  <c r="A12" i="15"/>
  <c r="B12" i="15"/>
  <c r="C12" i="15"/>
  <c r="D12" i="15"/>
  <c r="E12" i="15"/>
  <c r="F12" i="15"/>
  <c r="G12" i="15"/>
  <c r="H12" i="15"/>
  <c r="I12" i="15"/>
  <c r="J12" i="15"/>
  <c r="K12" i="15"/>
  <c r="L12" i="15"/>
  <c r="M12" i="15"/>
  <c r="N12" i="15"/>
  <c r="O12" i="15"/>
  <c r="P12" i="15"/>
  <c r="Q12" i="15"/>
  <c r="R12" i="15"/>
  <c r="S12" i="15"/>
  <c r="T12" i="15"/>
  <c r="U12" i="15"/>
  <c r="V12" i="15"/>
  <c r="W12" i="15"/>
  <c r="A13" i="15"/>
  <c r="B13" i="15"/>
  <c r="C13" i="15"/>
  <c r="D13" i="15"/>
  <c r="E13" i="15"/>
  <c r="F13" i="15"/>
  <c r="G13" i="15"/>
  <c r="H13" i="15"/>
  <c r="I13" i="15"/>
  <c r="J13" i="15"/>
  <c r="K13" i="15"/>
  <c r="L13" i="15"/>
  <c r="M13" i="15"/>
  <c r="N13" i="15"/>
  <c r="O13" i="15"/>
  <c r="P13" i="15"/>
  <c r="Q13" i="15"/>
  <c r="R13" i="15"/>
  <c r="S13" i="15"/>
  <c r="T13" i="15"/>
  <c r="U13" i="15"/>
  <c r="V13" i="15"/>
  <c r="W13" i="15"/>
  <c r="A14" i="15"/>
  <c r="B14" i="15"/>
  <c r="C14" i="15"/>
  <c r="D14" i="15"/>
  <c r="E14" i="15"/>
  <c r="F14" i="15"/>
  <c r="G14" i="15"/>
  <c r="H14" i="15"/>
  <c r="I14" i="15"/>
  <c r="J14" i="15"/>
  <c r="K14" i="15"/>
  <c r="L14" i="15"/>
  <c r="M14" i="15"/>
  <c r="N14" i="15"/>
  <c r="O14" i="15"/>
  <c r="P14" i="15"/>
  <c r="Q14" i="15"/>
  <c r="R14" i="15"/>
  <c r="S14" i="15"/>
  <c r="T14" i="15"/>
  <c r="U14" i="15"/>
  <c r="V14" i="15"/>
  <c r="W14" i="15"/>
  <c r="A15" i="15"/>
  <c r="B15" i="15"/>
  <c r="C15" i="15"/>
  <c r="D15" i="15"/>
  <c r="E15" i="15"/>
  <c r="F15" i="15"/>
  <c r="G15" i="15"/>
  <c r="H15" i="15"/>
  <c r="I15" i="15"/>
  <c r="J15" i="15"/>
  <c r="K15" i="15"/>
  <c r="L15" i="15"/>
  <c r="M15" i="15"/>
  <c r="N15" i="15"/>
  <c r="O15" i="15"/>
  <c r="P15" i="15"/>
  <c r="Q15" i="15"/>
  <c r="R15" i="15"/>
  <c r="S15" i="15"/>
  <c r="T15" i="15"/>
  <c r="U15" i="15"/>
  <c r="V15" i="15"/>
  <c r="W15" i="15"/>
  <c r="A16" i="15"/>
  <c r="B16" i="15"/>
  <c r="C16" i="15"/>
  <c r="D16" i="15"/>
  <c r="E16" i="15"/>
  <c r="F16" i="15"/>
  <c r="G16" i="15"/>
  <c r="H16" i="15"/>
  <c r="I16" i="15"/>
  <c r="J16" i="15"/>
  <c r="K16" i="15"/>
  <c r="L16" i="15"/>
  <c r="M16" i="15"/>
  <c r="N16" i="15"/>
  <c r="O16" i="15"/>
  <c r="P16" i="15"/>
  <c r="Q16" i="15"/>
  <c r="R16" i="15"/>
  <c r="S16" i="15"/>
  <c r="T16" i="15"/>
  <c r="U16" i="15"/>
  <c r="V16" i="15"/>
  <c r="W16" i="15"/>
  <c r="A17" i="15"/>
  <c r="B17" i="15"/>
  <c r="C17" i="15"/>
  <c r="D17" i="15"/>
  <c r="E17" i="15"/>
  <c r="F17" i="15"/>
  <c r="G17" i="15"/>
  <c r="H17" i="15"/>
  <c r="I17" i="15"/>
  <c r="J17" i="15"/>
  <c r="K17" i="15"/>
  <c r="L17" i="15"/>
  <c r="M17" i="15"/>
  <c r="N17" i="15"/>
  <c r="O17" i="15"/>
  <c r="P17" i="15"/>
  <c r="Q17" i="15"/>
  <c r="R17" i="15"/>
  <c r="S17" i="15"/>
  <c r="T17" i="15"/>
  <c r="U17" i="15"/>
  <c r="V17" i="15"/>
  <c r="W17" i="15"/>
  <c r="A18" i="15"/>
  <c r="B18" i="15"/>
  <c r="C18" i="15"/>
  <c r="D18" i="15"/>
  <c r="E18" i="15"/>
  <c r="F18" i="15"/>
  <c r="G18" i="15"/>
  <c r="H18" i="15"/>
  <c r="I18" i="15"/>
  <c r="J18" i="15"/>
  <c r="K18" i="15"/>
  <c r="L18" i="15"/>
  <c r="M18" i="15"/>
  <c r="N18" i="15"/>
  <c r="O18" i="15"/>
  <c r="P18" i="15"/>
  <c r="Q18" i="15"/>
  <c r="R18" i="15"/>
  <c r="S18" i="15"/>
  <c r="T18" i="15"/>
  <c r="U18" i="15"/>
  <c r="V18" i="15"/>
  <c r="W18" i="15"/>
  <c r="A19" i="15"/>
  <c r="B19" i="15"/>
  <c r="C19" i="15"/>
  <c r="D19" i="15"/>
  <c r="E19" i="15"/>
  <c r="F19" i="15"/>
  <c r="G19" i="15"/>
  <c r="H19" i="15"/>
  <c r="I19" i="15"/>
  <c r="J19" i="15"/>
  <c r="K19" i="15"/>
  <c r="L19" i="15"/>
  <c r="M19" i="15"/>
  <c r="N19" i="15"/>
  <c r="O19" i="15"/>
  <c r="P19" i="15"/>
  <c r="Q19" i="15"/>
  <c r="R19" i="15"/>
  <c r="S19" i="15"/>
  <c r="T19" i="15"/>
  <c r="U19" i="15"/>
  <c r="V19" i="15"/>
  <c r="W19" i="15"/>
  <c r="A20" i="15"/>
  <c r="B20" i="15"/>
  <c r="C20" i="15"/>
  <c r="D20" i="15"/>
  <c r="E20" i="15"/>
  <c r="F20" i="15"/>
  <c r="G20" i="15"/>
  <c r="H20" i="15"/>
  <c r="I20" i="15"/>
  <c r="J20" i="15"/>
  <c r="K20" i="15"/>
  <c r="L20" i="15"/>
  <c r="M20" i="15"/>
  <c r="N20" i="15"/>
  <c r="O20" i="15"/>
  <c r="P20" i="15"/>
  <c r="Q20" i="15"/>
  <c r="R20" i="15"/>
  <c r="S20" i="15"/>
  <c r="T20" i="15"/>
  <c r="U20" i="15"/>
  <c r="V20" i="15"/>
  <c r="W20" i="15"/>
  <c r="A21" i="15"/>
  <c r="B21" i="15"/>
  <c r="C21" i="15"/>
  <c r="D21" i="15"/>
  <c r="E21" i="15"/>
  <c r="F21" i="15"/>
  <c r="G21" i="15"/>
  <c r="H21" i="15"/>
  <c r="I21" i="15"/>
  <c r="J21" i="15"/>
  <c r="K21" i="15"/>
  <c r="L21" i="15"/>
  <c r="M21" i="15"/>
  <c r="N21" i="15"/>
  <c r="O21" i="15"/>
  <c r="P21" i="15"/>
  <c r="Q21" i="15"/>
  <c r="R21" i="15"/>
  <c r="S21" i="15"/>
  <c r="T21" i="15"/>
  <c r="U21" i="15"/>
  <c r="V21" i="15"/>
  <c r="W21" i="15"/>
  <c r="A22" i="15"/>
  <c r="B22" i="15"/>
  <c r="C22" i="15"/>
  <c r="D22" i="15"/>
  <c r="E22" i="15"/>
  <c r="F22" i="15"/>
  <c r="G22" i="15"/>
  <c r="H22" i="15"/>
  <c r="I22" i="15"/>
  <c r="J22" i="15"/>
  <c r="K22" i="15"/>
  <c r="L22" i="15"/>
  <c r="M22" i="15"/>
  <c r="N22" i="15"/>
  <c r="O22" i="15"/>
  <c r="P22" i="15"/>
  <c r="Q22" i="15"/>
  <c r="R22" i="15"/>
  <c r="S22" i="15"/>
  <c r="T22" i="15"/>
  <c r="U22" i="15"/>
  <c r="V22" i="15"/>
  <c r="W22" i="15"/>
  <c r="A23" i="15"/>
  <c r="B23" i="15"/>
  <c r="C23" i="15"/>
  <c r="D23" i="15"/>
  <c r="E23" i="15"/>
  <c r="F23" i="15"/>
  <c r="G23" i="15"/>
  <c r="H23" i="15"/>
  <c r="I23" i="15"/>
  <c r="J23" i="15"/>
  <c r="K23" i="15"/>
  <c r="L23" i="15"/>
  <c r="M23" i="15"/>
  <c r="N23" i="15"/>
  <c r="O23" i="15"/>
  <c r="P23" i="15"/>
  <c r="Q23" i="15"/>
  <c r="R23" i="15"/>
  <c r="S23" i="15"/>
  <c r="T23" i="15"/>
  <c r="U23" i="15"/>
  <c r="V23" i="15"/>
  <c r="W23" i="15"/>
  <c r="A24" i="15"/>
  <c r="B24" i="15"/>
  <c r="C24" i="15"/>
  <c r="D24" i="15"/>
  <c r="E24" i="15"/>
  <c r="F24" i="15"/>
  <c r="G24" i="15"/>
  <c r="H24" i="15"/>
  <c r="I24" i="15"/>
  <c r="J24" i="15"/>
  <c r="K24" i="15"/>
  <c r="L24" i="15"/>
  <c r="M24" i="15"/>
  <c r="N24" i="15"/>
  <c r="O24" i="15"/>
  <c r="P24" i="15"/>
  <c r="Q24" i="15"/>
  <c r="R24" i="15"/>
  <c r="S24" i="15"/>
  <c r="T24" i="15"/>
  <c r="U24" i="15"/>
  <c r="V24" i="15"/>
  <c r="W24" i="15"/>
  <c r="A25" i="15"/>
  <c r="B25" i="15"/>
  <c r="C25" i="15"/>
  <c r="D25" i="15"/>
  <c r="E25" i="15"/>
  <c r="F25" i="15"/>
  <c r="G25" i="15"/>
  <c r="H25" i="15"/>
  <c r="I25" i="15"/>
  <c r="J25" i="15"/>
  <c r="K25" i="15"/>
  <c r="L25" i="15"/>
  <c r="M25" i="15"/>
  <c r="N25" i="15"/>
  <c r="O25" i="15"/>
  <c r="P25" i="15"/>
  <c r="Q25" i="15"/>
  <c r="R25" i="15"/>
  <c r="S25" i="15"/>
  <c r="T25" i="15"/>
  <c r="U25" i="15"/>
  <c r="V25" i="15"/>
  <c r="W25" i="15"/>
  <c r="A26" i="15"/>
  <c r="B26" i="15"/>
  <c r="C26" i="15"/>
  <c r="D26" i="15"/>
  <c r="E26" i="15"/>
  <c r="F26" i="15"/>
  <c r="G26" i="15"/>
  <c r="H26" i="15"/>
  <c r="I26" i="15"/>
  <c r="J26" i="15"/>
  <c r="K26" i="15"/>
  <c r="L26" i="15"/>
  <c r="M26" i="15"/>
  <c r="N26" i="15"/>
  <c r="O26" i="15"/>
  <c r="P26" i="15"/>
  <c r="Q26" i="15"/>
  <c r="R26" i="15"/>
  <c r="S26" i="15"/>
  <c r="T26" i="15"/>
  <c r="U26" i="15"/>
  <c r="V26" i="15"/>
  <c r="W26" i="15"/>
  <c r="A27" i="15"/>
  <c r="B27" i="15"/>
  <c r="C27" i="15"/>
  <c r="D27" i="15"/>
  <c r="E27" i="15"/>
  <c r="F27" i="15"/>
  <c r="G27" i="15"/>
  <c r="H27" i="15"/>
  <c r="I27" i="15"/>
  <c r="J27" i="15"/>
  <c r="K27" i="15"/>
  <c r="L27" i="15"/>
  <c r="M27" i="15"/>
  <c r="N27" i="15"/>
  <c r="O27" i="15"/>
  <c r="P27" i="15"/>
  <c r="Q27" i="15"/>
  <c r="R27" i="15"/>
  <c r="S27" i="15"/>
  <c r="T27" i="15"/>
  <c r="U27" i="15"/>
  <c r="V27" i="15"/>
  <c r="W27" i="15"/>
  <c r="A28" i="15"/>
  <c r="B28" i="15"/>
  <c r="C28" i="15"/>
  <c r="D28" i="15"/>
  <c r="E28" i="15"/>
  <c r="F28" i="15"/>
  <c r="G28" i="15"/>
  <c r="H28" i="15"/>
  <c r="I28" i="15"/>
  <c r="M28" i="15"/>
  <c r="N28" i="15"/>
  <c r="O28" i="15"/>
  <c r="P28" i="15"/>
  <c r="Q28" i="15"/>
  <c r="R28" i="15"/>
  <c r="S28" i="15"/>
  <c r="T28" i="15"/>
  <c r="U28" i="15"/>
  <c r="V28" i="15"/>
  <c r="W28" i="15"/>
  <c r="A29" i="15"/>
  <c r="B29" i="15"/>
  <c r="C29" i="15"/>
  <c r="D29" i="15"/>
  <c r="E29" i="15"/>
  <c r="F29" i="15"/>
  <c r="G29" i="15"/>
  <c r="H29" i="15"/>
  <c r="I29" i="15"/>
  <c r="M29" i="15"/>
  <c r="N29" i="15"/>
  <c r="O29" i="15"/>
  <c r="P29" i="15"/>
  <c r="Q29" i="15"/>
  <c r="R29" i="15"/>
  <c r="S29" i="15"/>
  <c r="T29" i="15"/>
  <c r="U29" i="15"/>
  <c r="V29" i="15"/>
  <c r="W29" i="15"/>
  <c r="A30" i="15"/>
  <c r="B30" i="15"/>
  <c r="C30" i="15"/>
  <c r="D30" i="15"/>
  <c r="E30" i="15"/>
  <c r="F30" i="15"/>
  <c r="G30" i="15"/>
  <c r="H30" i="15"/>
  <c r="I30" i="15"/>
  <c r="M30" i="15"/>
  <c r="N30" i="15"/>
  <c r="O30" i="15"/>
  <c r="P30" i="15"/>
  <c r="Q30" i="15"/>
  <c r="R30" i="15"/>
  <c r="S30" i="15"/>
  <c r="T30" i="15"/>
  <c r="U30" i="15"/>
  <c r="V30" i="15"/>
  <c r="W30" i="15"/>
  <c r="A31" i="15"/>
  <c r="B31" i="15"/>
  <c r="C31" i="15"/>
  <c r="D31" i="15"/>
  <c r="E31" i="15"/>
  <c r="F31" i="15"/>
  <c r="G31" i="15"/>
  <c r="H31" i="15"/>
  <c r="I31" i="15"/>
  <c r="M31" i="15"/>
  <c r="N31" i="15"/>
  <c r="O31" i="15"/>
  <c r="P31" i="15"/>
  <c r="Q31" i="15"/>
  <c r="R31" i="15"/>
  <c r="S31" i="15"/>
  <c r="T31" i="15"/>
  <c r="U31" i="15"/>
  <c r="V31" i="15"/>
  <c r="W31" i="15"/>
  <c r="A32" i="15"/>
  <c r="B32" i="15"/>
  <c r="C32" i="15"/>
  <c r="D32" i="15"/>
  <c r="E32" i="15"/>
  <c r="F32" i="15"/>
  <c r="G32" i="15"/>
  <c r="H32" i="15"/>
  <c r="I32" i="15"/>
  <c r="M32" i="15"/>
  <c r="N32" i="15"/>
  <c r="O32" i="15"/>
  <c r="P32" i="15"/>
  <c r="Q32" i="15"/>
  <c r="R32" i="15"/>
  <c r="S32" i="15"/>
  <c r="T32" i="15"/>
  <c r="U32" i="15"/>
  <c r="V32" i="15"/>
  <c r="W32" i="15"/>
  <c r="A33" i="15"/>
  <c r="B33" i="15"/>
  <c r="C33" i="15"/>
  <c r="D33" i="15"/>
  <c r="E33" i="15"/>
  <c r="F33" i="15"/>
  <c r="G33" i="15"/>
  <c r="H33" i="15"/>
  <c r="I33" i="15"/>
  <c r="M33" i="15"/>
  <c r="N33" i="15"/>
  <c r="O33" i="15"/>
  <c r="P33" i="15"/>
  <c r="Q33" i="15"/>
  <c r="R33" i="15"/>
  <c r="S33" i="15"/>
  <c r="T33" i="15"/>
  <c r="U33" i="15"/>
  <c r="V33" i="15"/>
  <c r="W33" i="15"/>
  <c r="A34" i="15"/>
  <c r="B34" i="15"/>
  <c r="C34" i="15"/>
  <c r="D34" i="15"/>
  <c r="E34" i="15"/>
  <c r="F34" i="15"/>
  <c r="G34" i="15"/>
  <c r="H34" i="15"/>
  <c r="I34" i="15"/>
  <c r="M34" i="15"/>
  <c r="N34" i="15"/>
  <c r="O34" i="15"/>
  <c r="P34" i="15"/>
  <c r="Q34" i="15"/>
  <c r="R34" i="15"/>
  <c r="S34" i="15"/>
  <c r="T34" i="15"/>
  <c r="U34" i="15"/>
  <c r="V34" i="15"/>
  <c r="W34" i="15"/>
  <c r="A35" i="15"/>
  <c r="B35" i="15"/>
  <c r="C35" i="15"/>
  <c r="D35" i="15"/>
  <c r="E35" i="15"/>
  <c r="F35" i="15"/>
  <c r="G35" i="15"/>
  <c r="H35" i="15"/>
  <c r="I35" i="15"/>
  <c r="M35" i="15"/>
  <c r="N35" i="15"/>
  <c r="O35" i="15"/>
  <c r="P35" i="15"/>
  <c r="Q35" i="15"/>
  <c r="R35" i="15"/>
  <c r="S35" i="15"/>
  <c r="T35" i="15"/>
  <c r="U35" i="15"/>
  <c r="V35" i="15"/>
  <c r="W35" i="15"/>
  <c r="A36" i="15"/>
  <c r="B36" i="15"/>
  <c r="C36" i="15"/>
  <c r="D36" i="15"/>
  <c r="E36" i="15"/>
  <c r="F36" i="15"/>
  <c r="G36" i="15"/>
  <c r="H36" i="15"/>
  <c r="I36" i="15"/>
  <c r="M36" i="15"/>
  <c r="N36" i="15"/>
  <c r="O36" i="15"/>
  <c r="P36" i="15"/>
  <c r="Q36" i="15"/>
  <c r="R36" i="15"/>
  <c r="S36" i="15"/>
  <c r="T36" i="15"/>
  <c r="U36" i="15"/>
  <c r="V36" i="15"/>
  <c r="W36" i="15"/>
  <c r="A37" i="15"/>
  <c r="B37" i="15"/>
  <c r="C37" i="15"/>
  <c r="D37" i="15"/>
  <c r="E37" i="15"/>
  <c r="F37" i="15"/>
  <c r="G37" i="15"/>
  <c r="H37" i="15"/>
  <c r="I37" i="15"/>
  <c r="M37" i="15"/>
  <c r="N37" i="15"/>
  <c r="O37" i="15"/>
  <c r="P37" i="15"/>
  <c r="Q37" i="15"/>
  <c r="R37" i="15"/>
  <c r="S37" i="15"/>
  <c r="T37" i="15"/>
  <c r="U37" i="15"/>
  <c r="V37" i="15"/>
  <c r="W37" i="15"/>
  <c r="A38" i="15"/>
  <c r="B38" i="15"/>
  <c r="C38" i="15"/>
  <c r="D38" i="15"/>
  <c r="E38" i="15"/>
  <c r="F38" i="15"/>
  <c r="G38" i="15"/>
  <c r="H38" i="15"/>
  <c r="I38" i="15"/>
  <c r="J38" i="15"/>
  <c r="K38" i="15"/>
  <c r="L38" i="15"/>
  <c r="M38" i="15"/>
  <c r="N38" i="15"/>
  <c r="O38" i="15"/>
  <c r="P38" i="15"/>
  <c r="Q38" i="15"/>
  <c r="R38" i="15"/>
  <c r="S38" i="15"/>
  <c r="T38" i="15"/>
  <c r="U38" i="15"/>
  <c r="V38" i="15"/>
  <c r="W38" i="15"/>
  <c r="A39" i="15"/>
  <c r="B39" i="15"/>
  <c r="C39" i="15"/>
  <c r="D39" i="15"/>
  <c r="E39" i="15"/>
  <c r="F39" i="15"/>
  <c r="G39" i="15"/>
  <c r="H39" i="15"/>
  <c r="I39" i="15"/>
  <c r="J39" i="15"/>
  <c r="K39" i="15"/>
  <c r="L39" i="15"/>
  <c r="M39" i="15"/>
  <c r="N39" i="15"/>
  <c r="O39" i="15"/>
  <c r="P39" i="15"/>
  <c r="Q39" i="15"/>
  <c r="R39" i="15"/>
  <c r="S39" i="15"/>
  <c r="T39" i="15"/>
  <c r="U39" i="15"/>
  <c r="V39" i="15"/>
  <c r="W39" i="15"/>
  <c r="A40" i="15"/>
  <c r="B40" i="15"/>
  <c r="C40" i="15"/>
  <c r="D40" i="15"/>
  <c r="E40" i="15"/>
  <c r="F40" i="15"/>
  <c r="G40" i="15"/>
  <c r="H40" i="15"/>
  <c r="I40" i="15"/>
  <c r="J40" i="15"/>
  <c r="K40" i="15"/>
  <c r="L40" i="15"/>
  <c r="M40" i="15"/>
  <c r="N40" i="15"/>
  <c r="O40" i="15"/>
  <c r="P40" i="15"/>
  <c r="Q40" i="15"/>
  <c r="R40" i="15"/>
  <c r="S40" i="15"/>
  <c r="T40" i="15"/>
  <c r="U40" i="15"/>
  <c r="V40" i="15"/>
  <c r="W40" i="15"/>
  <c r="A41" i="15"/>
  <c r="B41" i="15"/>
  <c r="C41" i="15"/>
  <c r="D41" i="15"/>
  <c r="E41" i="15"/>
  <c r="F41" i="15"/>
  <c r="G41" i="15"/>
  <c r="H41" i="15"/>
  <c r="I41" i="15"/>
  <c r="J41" i="15"/>
  <c r="K41" i="15"/>
  <c r="L41" i="15"/>
  <c r="M41" i="15"/>
  <c r="N41" i="15"/>
  <c r="O41" i="15"/>
  <c r="P41" i="15"/>
  <c r="Q41" i="15"/>
  <c r="R41" i="15"/>
  <c r="S41" i="15"/>
  <c r="T41" i="15"/>
  <c r="U41" i="15"/>
  <c r="V41" i="15"/>
  <c r="W41" i="15"/>
  <c r="A42" i="15"/>
  <c r="B42" i="15"/>
  <c r="C42" i="15"/>
  <c r="D42" i="15"/>
  <c r="E42" i="15"/>
  <c r="F42" i="15"/>
  <c r="G42" i="15"/>
  <c r="H42" i="15"/>
  <c r="I42" i="15"/>
  <c r="J42" i="15"/>
  <c r="K42" i="15"/>
  <c r="L42" i="15"/>
  <c r="M42" i="15"/>
  <c r="N42" i="15"/>
  <c r="O42" i="15"/>
  <c r="P42" i="15"/>
  <c r="Q42" i="15"/>
  <c r="R42" i="15"/>
  <c r="S42" i="15"/>
  <c r="T42" i="15"/>
  <c r="U42" i="15"/>
  <c r="V42" i="15"/>
  <c r="W42" i="15"/>
  <c r="A43" i="15"/>
  <c r="B43" i="15"/>
  <c r="C43" i="15"/>
  <c r="D43" i="15"/>
  <c r="E43" i="15"/>
  <c r="F43" i="15"/>
  <c r="G43" i="15"/>
  <c r="H43" i="15"/>
  <c r="I43" i="15"/>
  <c r="J43" i="15"/>
  <c r="K43" i="15"/>
  <c r="L43" i="15"/>
  <c r="M43" i="15"/>
  <c r="N43" i="15"/>
  <c r="O43" i="15"/>
  <c r="P43" i="15"/>
  <c r="Q43" i="15"/>
  <c r="R43" i="15"/>
  <c r="S43" i="15"/>
  <c r="T43" i="15"/>
  <c r="U43" i="15"/>
  <c r="V43" i="15"/>
  <c r="W43" i="15"/>
  <c r="J11" i="15"/>
  <c r="K11" i="15"/>
  <c r="L11" i="15"/>
  <c r="M11" i="15"/>
  <c r="N11" i="15"/>
  <c r="O11" i="15"/>
  <c r="P11" i="15"/>
  <c r="Q11" i="15"/>
  <c r="R11" i="15"/>
  <c r="S11" i="15"/>
  <c r="T11" i="15"/>
  <c r="U11" i="15"/>
  <c r="V11" i="15"/>
  <c r="W11" i="15"/>
  <c r="B11" i="15"/>
  <c r="C11" i="15"/>
  <c r="D11" i="15"/>
  <c r="E11" i="15"/>
  <c r="F11" i="15"/>
  <c r="G11" i="15"/>
  <c r="I11" i="15"/>
  <c r="A11" i="15"/>
  <c r="C5" i="15" l="1"/>
</calcChain>
</file>

<file path=xl/sharedStrings.xml><?xml version="1.0" encoding="utf-8"?>
<sst xmlns="http://schemas.openxmlformats.org/spreadsheetml/2006/main" count="427" uniqueCount="180">
  <si>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</si>
  <si>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</si>
  <si>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</si>
  <si>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</si>
  <si>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</si>
  <si>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</si>
  <si>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</si>
  <si>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</si>
  <si>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</si>
  <si>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</si>
  <si>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</si>
  <si>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</si>
  <si>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</si>
  <si>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</si>
  <si>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</si>
  <si>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</si>
  <si>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</si>
  <si>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</si>
  <si>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</si>
  <si>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</si>
  <si>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</si>
  <si>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</si>
  <si>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</si>
  <si>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</si>
  <si>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</si>
  <si>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</si>
  <si>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</si>
  <si>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</si>
  <si>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</si>
  <si>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</si>
  <si>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</si>
  <si>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</si>
  <si>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</si>
  <si>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</si>
  <si>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</si>
  <si>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</si>
  <si>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</si>
  <si>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</si>
  <si>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</si>
  <si>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</si>
  <si>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</si>
  <si>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</si>
  <si>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</si>
  <si>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</si>
  <si>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</si>
  <si>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</si>
  <si>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</si>
  <si>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</si>
  <si>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</si>
  <si>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</si>
  <si>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</si>
  <si>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</si>
  <si>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</si>
  <si>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</si>
  <si>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</si>
  <si>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</si>
  <si>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</si>
  <si>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</si>
  <si>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</si>
  <si>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</si>
  <si>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</si>
  <si>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</si>
  <si>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</si>
  <si>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</si>
  <si>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</si>
  <si>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</si>
  <si>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</si>
  <si>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</si>
  <si>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</si>
  <si>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</si>
  <si>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</si>
  <si>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</si>
  <si>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</si>
  <si>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</si>
  <si>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</si>
  <si>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</si>
  <si>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</si>
  <si>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</si>
  <si>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</si>
  <si>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</si>
  <si>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</si>
  <si>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</si>
  <si>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</si>
  <si>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</si>
  <si>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</si>
  <si>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</si>
  <si>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</si>
  <si>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</si>
  <si>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</si>
  <si>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</si>
  <si>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</si>
  <si>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</si>
  <si>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</si>
  <si>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</si>
  <si>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</si>
  <si>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</si>
  <si>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</si>
  <si>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</si>
  <si>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</si>
  <si>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</si>
  <si>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</si>
  <si>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</si>
  <si>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</si>
  <si>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</si>
  <si>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</si>
  <si>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</si>
  <si>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</si>
  <si>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</si>
  <si>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</si>
  <si>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</si>
  <si>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</si>
  <si>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</si>
  <si>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</si>
  <si>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</si>
  <si>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</si>
  <si>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</si>
  <si>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</si>
  <si>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</si>
  <si>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</si>
  <si>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</si>
  <si>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</si>
  <si>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</si>
  <si>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</si>
  <si>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</si>
  <si>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</si>
  <si>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</si>
  <si>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</si>
  <si>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</si>
  <si>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</si>
  <si>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</si>
  <si>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</si>
  <si>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</si>
  <si>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</si>
  <si>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</si>
  <si>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</si>
  <si>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</si>
  <si>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</si>
  <si>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</si>
  <si>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</si>
  <si>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</si>
  <si>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</si>
  <si>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</si>
  <si>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</si>
  <si>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</si>
  <si>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</si>
  <si>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</si>
  <si>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</si>
  <si>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</si>
  <si>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</si>
  <si>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</si>
  <si>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</si>
  <si>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</si>
  <si>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</si>
  <si>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</si>
  <si>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</si>
  <si>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</si>
  <si>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</si>
  <si>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</si>
  <si>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</si>
  <si>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</si>
  <si>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</si>
  <si>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</si>
  <si>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</si>
  <si>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</si>
  <si>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</si>
  <si>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</si>
  <si>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</si>
  <si>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</si>
  <si>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</si>
  <si>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</si>
  <si>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</si>
  <si>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</si>
  <si>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</si>
  <si>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</si>
  <si>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</si>
  <si>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</si>
  <si>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</si>
  <si>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This operation neatly dissects the original text into distinct columns. For instance, the numeric code, the day "Monday," the digit "0," the day "Sunday," and the number "24" are now organized into their respective columns. This method enhances data organization, facilitating more efficient analysis and interpretation within the Excel spreadsheet.</t>
  </si>
  <si>
    <t>In Excel, converting the text "20000-Monday-0-Sunday-24" into separate columns is a straightforward process using the Text to Columns feature. Upon selecting the cell containing the text, I navigate to the 'Data' tab and click on 'Text to Columns.' Opting for the 'Delimited' option in the ensuing wizard, I specify the hyphen ('-') as the delimiter. After reviewing the preview, I click 'Finish.'</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</si>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</sst>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7"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166" fontId="3" fillId="0" borderId="0" xfId="0" applyNumberFormat="1" applyFont="1"/>
    <xf numFmtId="0" fontId="9" fillId="0" borderId="11" xfId="0" applyFont="1" applyBorder="1"/>
    <xf numFmtId="0" fontId="9" fillId="0" borderId="6" xfId="0" applyFont="1" applyBorder="1"/>
    <xf numFmtId="0" fontId="9" fillId="0" borderId="8" xfId="0" applyFont="1" applyBorder="1"/>
    <xf numFmtId="0" fontId="9" fillId="0" borderId="4" xfId="0" applyFont="1" applyBorder="1"/>
    <xf numFmtId="0" fontId="9" fillId="0" borderId="12" xfId="0" applyFont="1" applyBorder="1"/>
    <xf numFmtId="0" fontId="8" fillId="0" borderId="13" xfId="0" applyFont="1" applyBorder="1"/>
    <xf numFmtId="0" fontId="8" fillId="0" borderId="14" xfId="0" applyFont="1" applyBorder="1"/>
    <xf numFmtId="0" fontId="7" fillId="0" borderId="6" xfId="0" applyFont="1" applyBorder="1"/>
    <xf numFmtId="0" fontId="7" fillId="0" borderId="4" xfId="0" applyFont="1" applyBorder="1"/>
    <xf numFmtId="0" fontId="8" fillId="0" borderId="3" xfId="0" applyNumberFormat="1"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28">
    <dxf>
      <font>
        <b/>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bottom/>
        <vertical/>
        <horizontal/>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ill>
        <patternFill>
          <bgColor rgb="FFFF552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27"/>
      <tableStyleElement type="headerRow" dxfId="26"/>
    </tableStyle>
  </tableStyles>
  <colors>
    <mruColors>
      <color rgb="FFFF552D"/>
      <color rgb="FFFF7C5D"/>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BB1FC8-7406-49B7-BF34-13FAE3CA9D19}" name="Table_A" displayName="Table_A" ref="A9:J18" totalsRowShown="0" headerRowDxfId="5" dataDxfId="6" headerRowBorderDxfId="18" tableBorderDxfId="19" totalsRowBorderDxfId="17">
  <autoFilter ref="A9:J18" xr:uid="{F8BB1FC8-7406-49B7-BF34-13FAE3CA9D19}"/>
  <tableColumns count="10">
    <tableColumn id="1" xr3:uid="{E99E9E09-0424-4C60-AB9B-892461DFEA25}" name="Column1" dataDxfId="16"/>
    <tableColumn id="2" xr3:uid="{38D0C60D-14F1-4189-8DBC-3DC02202940C}" name="A" dataDxfId="15"/>
    <tableColumn id="3" xr3:uid="{B2DECB5D-F02C-4520-8C9F-BCC35C093DB4}" name="B" dataDxfId="14"/>
    <tableColumn id="4" xr3:uid="{30A2266A-BFD2-4FD2-B904-2266674FFD53}" name="C" dataDxfId="13"/>
    <tableColumn id="5" xr3:uid="{04626DA1-C9FE-46A9-B7EC-04B299327324}" name="D" dataDxfId="12"/>
    <tableColumn id="6" xr3:uid="{20F1D4C8-90B3-4B80-9ADE-87FBB18C8C47}" name="E" dataDxfId="11"/>
    <tableColumn id="7" xr3:uid="{33E0F9A1-C201-4067-A0C9-421112BB8B73}" name="F" dataDxfId="10"/>
    <tableColumn id="8" xr3:uid="{9D2962DA-0218-4932-AE45-4E31E0685EF5}" name="G" dataDxfId="9"/>
    <tableColumn id="9" xr3:uid="{5E5ADE2E-DF25-484F-84E9-6ECAB14D6741}" name="H" dataDxfId="8"/>
    <tableColumn id="10" xr3:uid="{49292246-3AEB-48B4-8107-B45E8CE8CA72}" name="I"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DFBEEA9-D788-447B-8B98-A8C63BF1BD02}" name="Table_B" displayName="Table_B" ref="M9:N18" totalsRowShown="0" headerRowDxfId="0" headerRowBorderDxfId="3" tableBorderDxfId="4">
  <autoFilter ref="M9:N18" xr:uid="{ADFBEEA9-D788-447B-8B98-A8C63BF1BD02}"/>
  <tableColumns count="2">
    <tableColumn id="1" xr3:uid="{072E7149-EF50-48B9-98AD-B8929598CA94}" name="ID" dataDxfId="2"/>
    <tableColumn id="2" xr3:uid="{B5AB3B26-FFF0-4478-A5B8-93874F961AE9}" name="Nam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9"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6" t="s">
        <v>171</v>
      </c>
      <c r="B9" s="26"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pane ySplit="1" topLeftCell="A22" activePane="bottomLeft" state="frozen"/>
      <selection pane="bottomLeft" activeCell="E42" sqref="E4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8" t="s">
        <v>64</v>
      </c>
      <c r="B1" s="28" t="s">
        <v>43</v>
      </c>
      <c r="C1" s="28" t="s">
        <v>0</v>
      </c>
      <c r="D1" s="29" t="s">
        <v>1</v>
      </c>
      <c r="E1" s="28" t="s">
        <v>2</v>
      </c>
      <c r="F1" s="29" t="s">
        <v>3</v>
      </c>
      <c r="G1" s="30" t="s">
        <v>79</v>
      </c>
      <c r="H1" s="30" t="s">
        <v>65</v>
      </c>
      <c r="I1" s="30" t="s">
        <v>66</v>
      </c>
      <c r="J1" s="31" t="s">
        <v>67</v>
      </c>
      <c r="K1" s="31" t="s">
        <v>68</v>
      </c>
      <c r="L1" s="31" t="s">
        <v>69</v>
      </c>
      <c r="M1" s="30" t="s">
        <v>70</v>
      </c>
      <c r="N1" s="30" t="s">
        <v>71</v>
      </c>
      <c r="O1" s="30" t="s">
        <v>72</v>
      </c>
      <c r="P1" s="31" t="s">
        <v>73</v>
      </c>
      <c r="Q1" s="31" t="s">
        <v>74</v>
      </c>
      <c r="R1" s="31" t="s">
        <v>75</v>
      </c>
      <c r="S1" s="30" t="s">
        <v>80</v>
      </c>
      <c r="T1" s="30" t="s">
        <v>76</v>
      </c>
      <c r="U1" s="31" t="s">
        <v>81</v>
      </c>
      <c r="V1" s="31" t="s">
        <v>77</v>
      </c>
      <c r="W1" s="31" t="s">
        <v>78</v>
      </c>
      <c r="X1" s="3" t="s">
        <v>105</v>
      </c>
    </row>
    <row r="2" spans="1:24" x14ac:dyDescent="0.3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row>
    <row r="3" spans="1:24" x14ac:dyDescent="0.3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row>
    <row r="4" spans="1:24" x14ac:dyDescent="0.3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row>
    <row r="5" spans="1:24" x14ac:dyDescent="0.3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row>
    <row r="6" spans="1:24" x14ac:dyDescent="0.3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row>
    <row r="7" spans="1:24" x14ac:dyDescent="0.3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row>
    <row r="8" spans="1:24" x14ac:dyDescent="0.3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4" x14ac:dyDescent="0.3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row>
    <row r="10" spans="1:24" x14ac:dyDescent="0.3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row>
    <row r="11" spans="1:24" x14ac:dyDescent="0.3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4" x14ac:dyDescent="0.3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row>
    <row r="13" spans="1:24" x14ac:dyDescent="0.3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row>
    <row r="14" spans="1:24" x14ac:dyDescent="0.3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row>
    <row r="15" spans="1:24" x14ac:dyDescent="0.3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4" x14ac:dyDescent="0.3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row>
    <row r="17" spans="1:24" x14ac:dyDescent="0.3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row>
    <row r="18" spans="1:24" x14ac:dyDescent="0.3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row>
    <row r="19" spans="1:24" x14ac:dyDescent="0.3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row>
    <row r="20" spans="1:24" x14ac:dyDescent="0.3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row>
    <row r="21" spans="1:24" x14ac:dyDescent="0.3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row>
    <row r="22" spans="1:24" x14ac:dyDescent="0.3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x14ac:dyDescent="0.3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x14ac:dyDescent="0.3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x14ac:dyDescent="0.3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row>
    <row r="26" spans="1:24" x14ac:dyDescent="0.3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row>
    <row r="27" spans="1:24" x14ac:dyDescent="0.3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row>
    <row r="28" spans="1:24" x14ac:dyDescent="0.3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row>
    <row r="29" spans="1:24" x14ac:dyDescent="0.3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row>
    <row r="30" spans="1:24" x14ac:dyDescent="0.3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row>
    <row r="31" spans="1:24" x14ac:dyDescent="0.3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x14ac:dyDescent="0.3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row>
    <row r="33" spans="1:24" x14ac:dyDescent="0.3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row>
    <row r="34" spans="1:24" x14ac:dyDescent="0.3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x14ac:dyDescent="0.3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row>
    <row r="36" spans="1:24" x14ac:dyDescent="0.3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row>
    <row r="37" spans="1:24" x14ac:dyDescent="0.3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row>
    <row r="38" spans="1:24" x14ac:dyDescent="0.3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row>
    <row r="39" spans="1:24" x14ac:dyDescent="0.3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row>
    <row r="40" spans="1:24" x14ac:dyDescent="0.3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row>
  </sheetData>
  <conditionalFormatting sqref="A1:A1048576">
    <cfRule type="duplicateValues" dxfId="25" priority="2"/>
  </conditionalFormatting>
  <conditionalFormatting sqref="B1:B1048576">
    <cfRule type="duplicateValues" dxfId="24"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X51"/>
  <sheetViews>
    <sheetView zoomScaleNormal="100" workbookViewId="0">
      <pane ySplit="1" topLeftCell="A2" activePane="bottomLeft" state="frozen"/>
      <selection pane="bottomLeft" activeCell="Z46" sqref="Z46"/>
    </sheetView>
  </sheetViews>
  <sheetFormatPr defaultColWidth="11" defaultRowHeight="14.5" x14ac:dyDescent="0.35"/>
  <cols>
    <col min="1" max="1" width="21" style="1" customWidth="1"/>
    <col min="2" max="2" width="67.3984375" style="1" customWidth="1"/>
    <col min="3" max="3" width="27.59765625" style="1" bestFit="1" customWidth="1"/>
    <col min="4" max="4" width="11" style="1"/>
    <col min="5" max="5" width="14.3984375" style="1" bestFit="1" customWidth="1"/>
    <col min="6" max="16384" width="11" style="1"/>
  </cols>
  <sheetData>
    <row r="1" spans="1:24" x14ac:dyDescent="0.35">
      <c r="A1" s="4" t="s">
        <v>47</v>
      </c>
      <c r="B1" s="4" t="s">
        <v>48</v>
      </c>
      <c r="C1" s="4" t="s">
        <v>44</v>
      </c>
      <c r="E1" s="4" t="s">
        <v>176</v>
      </c>
    </row>
    <row r="2" spans="1:24" x14ac:dyDescent="0.35">
      <c r="A2" s="2"/>
      <c r="B2" s="5" t="s">
        <v>160</v>
      </c>
      <c r="C2" s="2"/>
    </row>
    <row r="3" spans="1:24" x14ac:dyDescent="0.35">
      <c r="A3" s="6">
        <v>1</v>
      </c>
      <c r="B3" s="2" t="s">
        <v>107</v>
      </c>
      <c r="C3" s="2" t="s">
        <v>45</v>
      </c>
      <c r="E3" s="1">
        <v>5</v>
      </c>
    </row>
    <row r="4" spans="1:24" x14ac:dyDescent="0.35">
      <c r="A4" s="6">
        <v>2</v>
      </c>
      <c r="B4" s="2" t="s">
        <v>46</v>
      </c>
      <c r="C4" s="2"/>
      <c r="E4" s="1">
        <v>5</v>
      </c>
    </row>
    <row r="5" spans="1:24" x14ac:dyDescent="0.35">
      <c r="A5" s="6">
        <v>3</v>
      </c>
      <c r="B5" s="2" t="s">
        <v>104</v>
      </c>
      <c r="C5" s="1">
        <f>SUMIF(H11:H49,"&gt;=20")</f>
        <v>1473.0000000000002</v>
      </c>
      <c r="E5" s="1">
        <v>10</v>
      </c>
    </row>
    <row r="6" spans="1:24" x14ac:dyDescent="0.35">
      <c r="A6" s="6">
        <v>4</v>
      </c>
      <c r="B6" s="2" t="s">
        <v>106</v>
      </c>
      <c r="C6" s="2"/>
      <c r="E6" s="1">
        <v>5</v>
      </c>
    </row>
    <row r="7" spans="1:24" x14ac:dyDescent="0.35">
      <c r="A7" s="2"/>
      <c r="B7" s="2"/>
      <c r="C7" s="2"/>
    </row>
    <row r="10" spans="1:24" s="3" customFormat="1" ht="14.75" customHeight="1" x14ac:dyDescent="0.35">
      <c r="A10" s="28" t="s">
        <v>64</v>
      </c>
      <c r="B10" s="28" t="s">
        <v>43</v>
      </c>
      <c r="C10" s="28" t="s">
        <v>0</v>
      </c>
      <c r="D10" s="29" t="s">
        <v>1</v>
      </c>
      <c r="E10" s="28" t="s">
        <v>2</v>
      </c>
      <c r="F10" s="29" t="s">
        <v>3</v>
      </c>
      <c r="G10" s="30" t="s">
        <v>79</v>
      </c>
      <c r="H10" s="30" t="s">
        <v>65</v>
      </c>
      <c r="I10" s="30" t="s">
        <v>66</v>
      </c>
      <c r="J10" s="31" t="s">
        <v>67</v>
      </c>
      <c r="K10" s="31" t="s">
        <v>68</v>
      </c>
      <c r="L10" s="31" t="s">
        <v>69</v>
      </c>
      <c r="M10" s="30" t="s">
        <v>70</v>
      </c>
      <c r="N10" s="30" t="s">
        <v>71</v>
      </c>
      <c r="O10" s="30" t="s">
        <v>72</v>
      </c>
      <c r="P10" s="31" t="s">
        <v>73</v>
      </c>
      <c r="Q10" s="31" t="s">
        <v>74</v>
      </c>
      <c r="R10" s="31" t="s">
        <v>75</v>
      </c>
      <c r="S10" s="30" t="s">
        <v>80</v>
      </c>
      <c r="T10" s="30" t="s">
        <v>76</v>
      </c>
      <c r="U10" s="31" t="s">
        <v>81</v>
      </c>
      <c r="V10" s="31" t="s">
        <v>77</v>
      </c>
      <c r="W10" s="31" t="s">
        <v>78</v>
      </c>
      <c r="X10" s="3" t="s">
        <v>105</v>
      </c>
    </row>
    <row r="11" spans="1:24" x14ac:dyDescent="0.35">
      <c r="A11" s="1" t="str">
        <f>Dataset!A2</f>
        <v>Warrendale</v>
      </c>
      <c r="B11" s="1">
        <f>Dataset!B2</f>
        <v>20000</v>
      </c>
      <c r="C11" s="1" t="str">
        <f>Dataset!C2</f>
        <v>Monday</v>
      </c>
      <c r="D11" s="1">
        <f>Dataset!D2</f>
        <v>0</v>
      </c>
      <c r="E11" s="1" t="str">
        <f>Dataset!E2</f>
        <v>Sunday</v>
      </c>
      <c r="F11" s="1">
        <f>Dataset!F2</f>
        <v>0.99998842592592596</v>
      </c>
      <c r="G11" s="1">
        <f>Dataset!G2</f>
        <v>2.7</v>
      </c>
      <c r="H11" s="1">
        <f>Dataset!H2</f>
        <v>3.6</v>
      </c>
      <c r="I11" s="1">
        <f>Dataset!I2</f>
        <v>4.2</v>
      </c>
      <c r="J11" s="1">
        <f>Dataset!J2</f>
        <v>-1</v>
      </c>
      <c r="K11" s="1">
        <f>Dataset!K2</f>
        <v>-1</v>
      </c>
      <c r="L11" s="1">
        <f>Dataset!L2</f>
        <v>-1</v>
      </c>
      <c r="M11" s="1">
        <f>Dataset!M2</f>
        <v>5.3</v>
      </c>
      <c r="N11" s="1">
        <f>Dataset!N2</f>
        <v>7.6</v>
      </c>
      <c r="O11" s="1">
        <f>Dataset!O2</f>
        <v>8.9</v>
      </c>
      <c r="P11" s="1">
        <f>Dataset!P2</f>
        <v>2.7</v>
      </c>
      <c r="Q11" s="1">
        <f>Dataset!Q2</f>
        <v>3.6</v>
      </c>
      <c r="R11" s="1">
        <f>Dataset!R2</f>
        <v>4.2</v>
      </c>
      <c r="S11" s="1">
        <f>Dataset!S2</f>
        <v>7.6</v>
      </c>
      <c r="T11" s="1">
        <f>Dataset!T2</f>
        <v>8.9</v>
      </c>
      <c r="U11" s="1">
        <f>Dataset!U2</f>
        <v>3.6</v>
      </c>
      <c r="V11" s="1">
        <f>Dataset!V2</f>
        <v>4.2</v>
      </c>
      <c r="W11" s="1">
        <f>Dataset!W2</f>
        <v>4.2</v>
      </c>
      <c r="X11" s="44">
        <f>Dataset!X2</f>
        <v>45051</v>
      </c>
    </row>
    <row r="12" spans="1:24" x14ac:dyDescent="0.35">
      <c r="A12" s="1" t="str">
        <f>Dataset!A3</f>
        <v>Butler Valley</v>
      </c>
      <c r="B12" s="1">
        <f>Dataset!B3</f>
        <v>20002</v>
      </c>
      <c r="C12" s="1" t="str">
        <f>Dataset!C3</f>
        <v>Monday</v>
      </c>
      <c r="D12" s="1">
        <f>Dataset!D3</f>
        <v>0</v>
      </c>
      <c r="E12" s="1" t="str">
        <f>Dataset!E3</f>
        <v>Sunday</v>
      </c>
      <c r="F12" s="1">
        <f>Dataset!F3</f>
        <v>0.99998842592592596</v>
      </c>
      <c r="G12" s="1">
        <f>Dataset!G3</f>
        <v>2.7</v>
      </c>
      <c r="H12" s="1">
        <f>Dataset!H3</f>
        <v>3.6</v>
      </c>
      <c r="I12" s="1">
        <f>Dataset!I3</f>
        <v>4.2</v>
      </c>
      <c r="J12" s="1">
        <f>Dataset!J3</f>
        <v>-1</v>
      </c>
      <c r="K12" s="1">
        <f>Dataset!K3</f>
        <v>-1</v>
      </c>
      <c r="L12" s="1">
        <f>Dataset!L3</f>
        <v>-1</v>
      </c>
      <c r="M12" s="1">
        <f>Dataset!M3</f>
        <v>5.3</v>
      </c>
      <c r="N12" s="1">
        <f>Dataset!N3</f>
        <v>7.6</v>
      </c>
      <c r="O12" s="1">
        <f>Dataset!O3</f>
        <v>8.9</v>
      </c>
      <c r="P12" s="1">
        <f>Dataset!P3</f>
        <v>2.7</v>
      </c>
      <c r="Q12" s="1">
        <f>Dataset!Q3</f>
        <v>3.6</v>
      </c>
      <c r="R12" s="1">
        <f>Dataset!R3</f>
        <v>4.2</v>
      </c>
      <c r="S12" s="1">
        <f>Dataset!S3</f>
        <v>7.6</v>
      </c>
      <c r="T12" s="1">
        <f>Dataset!T3</f>
        <v>8.9</v>
      </c>
      <c r="U12" s="1">
        <f>Dataset!U3</f>
        <v>3.6</v>
      </c>
      <c r="V12" s="1">
        <f>Dataset!V3</f>
        <v>4.2</v>
      </c>
      <c r="W12" s="1">
        <f>Dataset!W3</f>
        <v>4.2</v>
      </c>
      <c r="X12" s="44">
        <f>Dataset!X3</f>
        <v>45048</v>
      </c>
    </row>
    <row r="13" spans="1:24" x14ac:dyDescent="0.35">
      <c r="A13" s="1" t="str">
        <f>Dataset!A4</f>
        <v>Allegheny Valley</v>
      </c>
      <c r="B13" s="1">
        <f>Dataset!B4</f>
        <v>20004</v>
      </c>
      <c r="C13" s="1" t="str">
        <f>Dataset!C4</f>
        <v>Monday</v>
      </c>
      <c r="D13" s="1">
        <f>Dataset!D4</f>
        <v>0</v>
      </c>
      <c r="E13" s="1" t="str">
        <f>Dataset!E4</f>
        <v>Sunday</v>
      </c>
      <c r="F13" s="1">
        <f>Dataset!F4</f>
        <v>0.99998842592592596</v>
      </c>
      <c r="G13" s="1">
        <f>Dataset!G4</f>
        <v>3.6</v>
      </c>
      <c r="H13" s="1">
        <f>Dataset!H4</f>
        <v>5.4</v>
      </c>
      <c r="I13" s="1">
        <f>Dataset!I4</f>
        <v>5.8</v>
      </c>
      <c r="J13" s="1">
        <f>Dataset!J4</f>
        <v>-1</v>
      </c>
      <c r="K13" s="1">
        <f>Dataset!K4</f>
        <v>-1</v>
      </c>
      <c r="L13" s="1">
        <f>Dataset!L4</f>
        <v>-1</v>
      </c>
      <c r="M13" s="1">
        <f>Dataset!M4</f>
        <v>7.6</v>
      </c>
      <c r="N13" s="1">
        <f>Dataset!N4</f>
        <v>11.1</v>
      </c>
      <c r="O13" s="1">
        <f>Dataset!O4</f>
        <v>12.2</v>
      </c>
      <c r="P13" s="1">
        <f>Dataset!P4</f>
        <v>3.6</v>
      </c>
      <c r="Q13" s="1">
        <f>Dataset!Q4</f>
        <v>5.4</v>
      </c>
      <c r="R13" s="1">
        <f>Dataset!R4</f>
        <v>5.8</v>
      </c>
      <c r="S13" s="1">
        <f>Dataset!S4</f>
        <v>11.1</v>
      </c>
      <c r="T13" s="1">
        <f>Dataset!T4</f>
        <v>12.2</v>
      </c>
      <c r="U13" s="1">
        <f>Dataset!U4</f>
        <v>5.4</v>
      </c>
      <c r="V13" s="1">
        <f>Dataset!V4</f>
        <v>5.8</v>
      </c>
      <c r="W13" s="1">
        <f>Dataset!W4</f>
        <v>5.8</v>
      </c>
      <c r="X13" s="44">
        <f>Dataset!X4</f>
        <v>45055</v>
      </c>
    </row>
    <row r="14" spans="1:24" x14ac:dyDescent="0.35">
      <c r="A14" s="1" t="str">
        <f>Dataset!A5</f>
        <v>Pittsburgh</v>
      </c>
      <c r="B14" s="1">
        <f>Dataset!B5</f>
        <v>20006</v>
      </c>
      <c r="C14" s="1" t="str">
        <f>Dataset!C5</f>
        <v>Monday</v>
      </c>
      <c r="D14" s="1">
        <f>Dataset!D5</f>
        <v>0</v>
      </c>
      <c r="E14" s="1" t="str">
        <f>Dataset!E5</f>
        <v>Sunday</v>
      </c>
      <c r="F14" s="1">
        <f>Dataset!F5</f>
        <v>0.99998842592592596</v>
      </c>
      <c r="G14" s="1">
        <f>Dataset!G5</f>
        <v>4.9000000000000004</v>
      </c>
      <c r="H14" s="1">
        <f>Dataset!H5</f>
        <v>6.6</v>
      </c>
      <c r="I14" s="1">
        <f>Dataset!I5</f>
        <v>8.1</v>
      </c>
      <c r="J14" s="1">
        <f>Dataset!J5</f>
        <v>-1</v>
      </c>
      <c r="K14" s="1">
        <f>Dataset!K5</f>
        <v>-1</v>
      </c>
      <c r="L14" s="1">
        <f>Dataset!L5</f>
        <v>-1</v>
      </c>
      <c r="M14" s="1">
        <f>Dataset!M5</f>
        <v>10</v>
      </c>
      <c r="N14" s="1">
        <f>Dataset!N5</f>
        <v>13.3</v>
      </c>
      <c r="O14" s="1">
        <f>Dataset!O5</f>
        <v>17</v>
      </c>
      <c r="P14" s="1">
        <f>Dataset!P5</f>
        <v>4.9000000000000004</v>
      </c>
      <c r="Q14" s="1">
        <f>Dataset!Q5</f>
        <v>6.6</v>
      </c>
      <c r="R14" s="1">
        <f>Dataset!R5</f>
        <v>8.1</v>
      </c>
      <c r="S14" s="1">
        <f>Dataset!S5</f>
        <v>13.3</v>
      </c>
      <c r="T14" s="1">
        <f>Dataset!T5</f>
        <v>17</v>
      </c>
      <c r="U14" s="1">
        <f>Dataset!U5</f>
        <v>6.6</v>
      </c>
      <c r="V14" s="1">
        <f>Dataset!V5</f>
        <v>8.1</v>
      </c>
      <c r="W14" s="1">
        <f>Dataset!W5</f>
        <v>8.1</v>
      </c>
      <c r="X14" s="44">
        <f>Dataset!X5</f>
        <v>45059</v>
      </c>
    </row>
    <row r="15" spans="1:24" x14ac:dyDescent="0.35">
      <c r="A15" s="1" t="str">
        <f>Dataset!A6</f>
        <v>Irwin</v>
      </c>
      <c r="B15" s="1">
        <f>Dataset!B6</f>
        <v>20008</v>
      </c>
      <c r="C15" s="1" t="str">
        <f>Dataset!C6</f>
        <v>Monday</v>
      </c>
      <c r="D15" s="1">
        <f>Dataset!D6</f>
        <v>0</v>
      </c>
      <c r="E15" s="1" t="str">
        <f>Dataset!E6</f>
        <v>Sunday</v>
      </c>
      <c r="F15" s="1">
        <f>Dataset!F6</f>
        <v>0.99998842592592596</v>
      </c>
      <c r="G15" s="1">
        <f>Dataset!G6</f>
        <v>6.6</v>
      </c>
      <c r="H15" s="1">
        <f>Dataset!H6</f>
        <v>8.8000000000000007</v>
      </c>
      <c r="I15" s="1">
        <f>Dataset!I6</f>
        <v>11</v>
      </c>
      <c r="J15" s="1">
        <f>Dataset!J6</f>
        <v>-1</v>
      </c>
      <c r="K15" s="1">
        <f>Dataset!K6</f>
        <v>-1</v>
      </c>
      <c r="L15" s="1">
        <f>Dataset!L6</f>
        <v>-1</v>
      </c>
      <c r="M15" s="1">
        <f>Dataset!M6</f>
        <v>13.3</v>
      </c>
      <c r="N15" s="1">
        <f>Dataset!N6</f>
        <v>18</v>
      </c>
      <c r="O15" s="1">
        <f>Dataset!O6</f>
        <v>22.5</v>
      </c>
      <c r="P15" s="1">
        <f>Dataset!P6</f>
        <v>6.6</v>
      </c>
      <c r="Q15" s="1">
        <f>Dataset!Q6</f>
        <v>8.8000000000000007</v>
      </c>
      <c r="R15" s="1">
        <f>Dataset!R6</f>
        <v>11</v>
      </c>
      <c r="S15" s="1">
        <f>Dataset!S6</f>
        <v>18</v>
      </c>
      <c r="T15" s="1">
        <f>Dataset!T6</f>
        <v>22.5</v>
      </c>
      <c r="U15" s="1">
        <f>Dataset!U6</f>
        <v>8.8000000000000007</v>
      </c>
      <c r="V15" s="1">
        <f>Dataset!V6</f>
        <v>11</v>
      </c>
      <c r="W15" s="1">
        <f>Dataset!W6</f>
        <v>11</v>
      </c>
      <c r="X15" s="44">
        <f>Dataset!X6</f>
        <v>45076</v>
      </c>
    </row>
    <row r="16" spans="1:24" x14ac:dyDescent="0.35">
      <c r="A16" s="1" t="str">
        <f>Dataset!A7</f>
        <v>New Stanton</v>
      </c>
      <c r="B16" s="1">
        <f>Dataset!B7</f>
        <v>20010</v>
      </c>
      <c r="C16" s="1" t="str">
        <f>Dataset!C7</f>
        <v>Monday</v>
      </c>
      <c r="D16" s="1">
        <f>Dataset!D7</f>
        <v>0</v>
      </c>
      <c r="E16" s="1" t="str">
        <f>Dataset!E7</f>
        <v>Sunday</v>
      </c>
      <c r="F16" s="1">
        <f>Dataset!F7</f>
        <v>0.99998842592592596</v>
      </c>
      <c r="G16" s="1">
        <f>Dataset!G7</f>
        <v>7.1</v>
      </c>
      <c r="H16" s="1">
        <f>Dataset!H7</f>
        <v>10.4</v>
      </c>
      <c r="I16" s="1">
        <f>Dataset!I7</f>
        <v>12.8</v>
      </c>
      <c r="J16" s="1">
        <f>Dataset!J7</f>
        <v>-1</v>
      </c>
      <c r="K16" s="1">
        <f>Dataset!K7</f>
        <v>-1</v>
      </c>
      <c r="L16" s="1">
        <f>Dataset!L7</f>
        <v>-1</v>
      </c>
      <c r="M16" s="1">
        <f>Dataset!M7</f>
        <v>14.4</v>
      </c>
      <c r="N16" s="1">
        <f>Dataset!N7</f>
        <v>21.5</v>
      </c>
      <c r="O16" s="1">
        <f>Dataset!O7</f>
        <v>26.1</v>
      </c>
      <c r="P16" s="1">
        <f>Dataset!P7</f>
        <v>7.1</v>
      </c>
      <c r="Q16" s="1">
        <f>Dataset!Q7</f>
        <v>10.4</v>
      </c>
      <c r="R16" s="1">
        <f>Dataset!R7</f>
        <v>12.8</v>
      </c>
      <c r="S16" s="1">
        <f>Dataset!S7</f>
        <v>21.5</v>
      </c>
      <c r="T16" s="1">
        <f>Dataset!T7</f>
        <v>26.1</v>
      </c>
      <c r="U16" s="1">
        <f>Dataset!U7</f>
        <v>10.4</v>
      </c>
      <c r="V16" s="1">
        <f>Dataset!V7</f>
        <v>12.8</v>
      </c>
      <c r="W16" s="1">
        <f>Dataset!W7</f>
        <v>12.8</v>
      </c>
      <c r="X16" s="44">
        <f>Dataset!X7</f>
        <v>45057</v>
      </c>
    </row>
    <row r="17" spans="1:24" x14ac:dyDescent="0.35">
      <c r="A17" s="1" t="str">
        <f>Dataset!A8</f>
        <v>Donegal</v>
      </c>
      <c r="B17" s="1">
        <f>Dataset!B8</f>
        <v>20012</v>
      </c>
      <c r="C17" s="1" t="str">
        <f>Dataset!C8</f>
        <v>Monday</v>
      </c>
      <c r="D17" s="1">
        <f>Dataset!D8</f>
        <v>0</v>
      </c>
      <c r="E17" s="1" t="str">
        <f>Dataset!E8</f>
        <v>Sunday</v>
      </c>
      <c r="F17" s="1">
        <f>Dataset!F8</f>
        <v>0.99998842592592596</v>
      </c>
      <c r="G17" s="1">
        <f>Dataset!G8</f>
        <v>9.4</v>
      </c>
      <c r="H17" s="1">
        <f>Dataset!H8</f>
        <v>13.8</v>
      </c>
      <c r="I17" s="1">
        <f>Dataset!I8</f>
        <v>16.100000000000001</v>
      </c>
      <c r="J17" s="1">
        <f>Dataset!J8</f>
        <v>-1</v>
      </c>
      <c r="K17" s="1">
        <f>Dataset!K8</f>
        <v>-1</v>
      </c>
      <c r="L17" s="1">
        <f>Dataset!L8</f>
        <v>-1</v>
      </c>
      <c r="M17" s="1">
        <f>Dataset!M8</f>
        <v>19.2</v>
      </c>
      <c r="N17" s="1">
        <f>Dataset!N8</f>
        <v>28.3</v>
      </c>
      <c r="O17" s="1">
        <f>Dataset!O8</f>
        <v>32.799999999999997</v>
      </c>
      <c r="P17" s="1">
        <f>Dataset!P8</f>
        <v>9.4</v>
      </c>
      <c r="Q17" s="1">
        <f>Dataset!Q8</f>
        <v>13.8</v>
      </c>
      <c r="R17" s="1">
        <f>Dataset!R8</f>
        <v>16.100000000000001</v>
      </c>
      <c r="S17" s="1">
        <f>Dataset!S8</f>
        <v>28.3</v>
      </c>
      <c r="T17" s="1">
        <f>Dataset!T8</f>
        <v>32.799999999999997</v>
      </c>
      <c r="U17" s="1">
        <f>Dataset!U8</f>
        <v>13.8</v>
      </c>
      <c r="V17" s="1">
        <f>Dataset!V8</f>
        <v>16.100000000000001</v>
      </c>
      <c r="W17" s="1">
        <f>Dataset!W8</f>
        <v>16.100000000000001</v>
      </c>
      <c r="X17" s="44">
        <f>Dataset!X8</f>
        <v>45052</v>
      </c>
    </row>
    <row r="18" spans="1:24" x14ac:dyDescent="0.35">
      <c r="A18" s="1" t="str">
        <f>Dataset!A9</f>
        <v>Somerset</v>
      </c>
      <c r="B18" s="1">
        <f>Dataset!B9</f>
        <v>20014</v>
      </c>
      <c r="C18" s="1" t="str">
        <f>Dataset!C9</f>
        <v>Monday</v>
      </c>
      <c r="D18" s="1">
        <f>Dataset!D9</f>
        <v>0</v>
      </c>
      <c r="E18" s="1" t="str">
        <f>Dataset!E9</f>
        <v>Sunday</v>
      </c>
      <c r="F18" s="1">
        <f>Dataset!F9</f>
        <v>0.99998842592592596</v>
      </c>
      <c r="G18" s="1">
        <f>Dataset!G9</f>
        <v>11.6</v>
      </c>
      <c r="H18" s="1">
        <f>Dataset!H9</f>
        <v>17.3</v>
      </c>
      <c r="I18" s="1">
        <f>Dataset!I9</f>
        <v>21.3</v>
      </c>
      <c r="J18" s="1">
        <f>Dataset!J9</f>
        <v>-1</v>
      </c>
      <c r="K18" s="1">
        <f>Dataset!K9</f>
        <v>-1</v>
      </c>
      <c r="L18" s="1">
        <f>Dataset!L9</f>
        <v>-1</v>
      </c>
      <c r="M18" s="1">
        <f>Dataset!M9</f>
        <v>23.6</v>
      </c>
      <c r="N18" s="1">
        <f>Dataset!N9</f>
        <v>35.200000000000003</v>
      </c>
      <c r="O18" s="1">
        <f>Dataset!O9</f>
        <v>43</v>
      </c>
      <c r="P18" s="1">
        <f>Dataset!P9</f>
        <v>11.6</v>
      </c>
      <c r="Q18" s="1">
        <f>Dataset!Q9</f>
        <v>17.3</v>
      </c>
      <c r="R18" s="1">
        <f>Dataset!R9</f>
        <v>21.3</v>
      </c>
      <c r="S18" s="1">
        <f>Dataset!S9</f>
        <v>35.200000000000003</v>
      </c>
      <c r="T18" s="1">
        <f>Dataset!T9</f>
        <v>43</v>
      </c>
      <c r="U18" s="1">
        <f>Dataset!U9</f>
        <v>17.3</v>
      </c>
      <c r="V18" s="1">
        <f>Dataset!V9</f>
        <v>21.3</v>
      </c>
      <c r="W18" s="1">
        <f>Dataset!W9</f>
        <v>21.3</v>
      </c>
      <c r="X18" s="44">
        <f>Dataset!X9</f>
        <v>45098</v>
      </c>
    </row>
    <row r="19" spans="1:24" x14ac:dyDescent="0.35">
      <c r="A19" s="1" t="str">
        <f>Dataset!A10</f>
        <v>Bedford</v>
      </c>
      <c r="B19" s="1">
        <f>Dataset!B10</f>
        <v>20016</v>
      </c>
      <c r="C19" s="1" t="str">
        <f>Dataset!C10</f>
        <v>Monday</v>
      </c>
      <c r="D19" s="1">
        <f>Dataset!D10</f>
        <v>0</v>
      </c>
      <c r="E19" s="1" t="str">
        <f>Dataset!E10</f>
        <v>Sunday</v>
      </c>
      <c r="F19" s="1">
        <f>Dataset!F10</f>
        <v>0.99998842592592596</v>
      </c>
      <c r="G19" s="1">
        <f>Dataset!G10</f>
        <v>16.100000000000001</v>
      </c>
      <c r="H19" s="1">
        <f>Dataset!H10</f>
        <v>24.1</v>
      </c>
      <c r="I19" s="1">
        <f>Dataset!I10</f>
        <v>29.1</v>
      </c>
      <c r="J19" s="1">
        <f>Dataset!J10</f>
        <v>-1</v>
      </c>
      <c r="K19" s="1">
        <f>Dataset!K10</f>
        <v>-1</v>
      </c>
      <c r="L19" s="1">
        <f>Dataset!L10</f>
        <v>-1</v>
      </c>
      <c r="M19" s="1">
        <f>Dataset!M10</f>
        <v>32.799999999999997</v>
      </c>
      <c r="N19" s="1">
        <f>Dataset!N10</f>
        <v>49</v>
      </c>
      <c r="O19" s="1">
        <f>Dataset!O10</f>
        <v>59</v>
      </c>
      <c r="P19" s="1">
        <f>Dataset!P10</f>
        <v>16.100000000000001</v>
      </c>
      <c r="Q19" s="1">
        <f>Dataset!Q10</f>
        <v>24.1</v>
      </c>
      <c r="R19" s="1">
        <f>Dataset!R10</f>
        <v>29.1</v>
      </c>
      <c r="S19" s="1">
        <f>Dataset!S10</f>
        <v>49</v>
      </c>
      <c r="T19" s="1">
        <f>Dataset!T10</f>
        <v>59</v>
      </c>
      <c r="U19" s="1">
        <f>Dataset!U10</f>
        <v>24.1</v>
      </c>
      <c r="V19" s="1">
        <f>Dataset!V10</f>
        <v>29.1</v>
      </c>
      <c r="W19" s="1">
        <f>Dataset!W10</f>
        <v>29.1</v>
      </c>
      <c r="X19" s="44">
        <f>Dataset!X10</f>
        <v>45092</v>
      </c>
    </row>
    <row r="20" spans="1:24" x14ac:dyDescent="0.35">
      <c r="A20" s="1" t="str">
        <f>Dataset!A11</f>
        <v>Breezewood</v>
      </c>
      <c r="B20" s="1">
        <f>Dataset!B11</f>
        <v>20018</v>
      </c>
      <c r="C20" s="1" t="str">
        <f>Dataset!C11</f>
        <v>Monday</v>
      </c>
      <c r="D20" s="1">
        <f>Dataset!D11</f>
        <v>0</v>
      </c>
      <c r="E20" s="1" t="str">
        <f>Dataset!E11</f>
        <v>Sunday</v>
      </c>
      <c r="F20" s="1">
        <f>Dataset!F11</f>
        <v>0.99998842592592596</v>
      </c>
      <c r="G20" s="1">
        <f>Dataset!G11</f>
        <v>18.399999999999999</v>
      </c>
      <c r="H20" s="1">
        <f>Dataset!H11</f>
        <v>27.5</v>
      </c>
      <c r="I20" s="1">
        <f>Dataset!I11</f>
        <v>33.799999999999997</v>
      </c>
      <c r="J20" s="1">
        <f>Dataset!J11</f>
        <v>-1</v>
      </c>
      <c r="K20" s="1">
        <f>Dataset!K11</f>
        <v>-1</v>
      </c>
      <c r="L20" s="1">
        <f>Dataset!L11</f>
        <v>-1</v>
      </c>
      <c r="M20" s="1">
        <f>Dataset!M11</f>
        <v>37.200000000000003</v>
      </c>
      <c r="N20" s="1">
        <f>Dataset!N11</f>
        <v>55.6</v>
      </c>
      <c r="O20" s="1">
        <f>Dataset!O11</f>
        <v>67.900000000000006</v>
      </c>
      <c r="P20" s="1">
        <f>Dataset!P11</f>
        <v>18.399999999999999</v>
      </c>
      <c r="Q20" s="1">
        <f>Dataset!Q11</f>
        <v>27.5</v>
      </c>
      <c r="R20" s="1">
        <f>Dataset!R11</f>
        <v>33.799999999999997</v>
      </c>
      <c r="S20" s="1">
        <f>Dataset!S11</f>
        <v>55.6</v>
      </c>
      <c r="T20" s="1">
        <f>Dataset!T11</f>
        <v>67.900000000000006</v>
      </c>
      <c r="U20" s="1">
        <f>Dataset!U11</f>
        <v>27.5</v>
      </c>
      <c r="V20" s="1">
        <f>Dataset!V11</f>
        <v>33.799999999999997</v>
      </c>
      <c r="W20" s="1">
        <f>Dataset!W11</f>
        <v>33.799999999999997</v>
      </c>
      <c r="X20" s="44">
        <f>Dataset!X11</f>
        <v>45104</v>
      </c>
    </row>
    <row r="21" spans="1:24" x14ac:dyDescent="0.35">
      <c r="A21" s="1" t="str">
        <f>Dataset!A12</f>
        <v>Fort Littleton</v>
      </c>
      <c r="B21" s="1">
        <f>Dataset!B12</f>
        <v>20020</v>
      </c>
      <c r="C21" s="1" t="str">
        <f>Dataset!C12</f>
        <v>Monday</v>
      </c>
      <c r="D21" s="1">
        <f>Dataset!D12</f>
        <v>0</v>
      </c>
      <c r="E21" s="1" t="str">
        <f>Dataset!E12</f>
        <v>Sunday</v>
      </c>
      <c r="F21" s="1">
        <f>Dataset!F12</f>
        <v>0.99998842592592596</v>
      </c>
      <c r="G21" s="1">
        <f>Dataset!G12</f>
        <v>0</v>
      </c>
      <c r="H21" s="1">
        <f>Dataset!H12</f>
        <v>0</v>
      </c>
      <c r="I21" s="1">
        <f>Dataset!I12</f>
        <v>0</v>
      </c>
      <c r="J21" s="1">
        <f>Dataset!J12</f>
        <v>0</v>
      </c>
      <c r="K21" s="1">
        <f>Dataset!K12</f>
        <v>0</v>
      </c>
      <c r="L21" s="1">
        <f>Dataset!L12</f>
        <v>0</v>
      </c>
      <c r="M21" s="1">
        <f>Dataset!M12</f>
        <v>0</v>
      </c>
      <c r="N21" s="1">
        <f>Dataset!N12</f>
        <v>0</v>
      </c>
      <c r="O21" s="1">
        <f>Dataset!O12</f>
        <v>0</v>
      </c>
      <c r="P21" s="1">
        <f>Dataset!P12</f>
        <v>0</v>
      </c>
      <c r="Q21" s="1">
        <f>Dataset!Q12</f>
        <v>0</v>
      </c>
      <c r="R21" s="1">
        <f>Dataset!R12</f>
        <v>0</v>
      </c>
      <c r="S21" s="1">
        <f>Dataset!S12</f>
        <v>0</v>
      </c>
      <c r="T21" s="1">
        <f>Dataset!T12</f>
        <v>0</v>
      </c>
      <c r="U21" s="1">
        <f>Dataset!U12</f>
        <v>0</v>
      </c>
      <c r="V21" s="1">
        <f>Dataset!V12</f>
        <v>0</v>
      </c>
      <c r="W21" s="1">
        <f>Dataset!W12</f>
        <v>0</v>
      </c>
      <c r="X21" s="44">
        <f>Dataset!X12</f>
        <v>45116</v>
      </c>
    </row>
    <row r="22" spans="1:24" x14ac:dyDescent="0.35">
      <c r="A22" s="1" t="str">
        <f>Dataset!A13</f>
        <v>Willow Hill</v>
      </c>
      <c r="B22" s="1">
        <f>Dataset!B13</f>
        <v>20022</v>
      </c>
      <c r="C22" s="1" t="str">
        <f>Dataset!C13</f>
        <v>Monday</v>
      </c>
      <c r="D22" s="1">
        <f>Dataset!D13</f>
        <v>0</v>
      </c>
      <c r="E22" s="1" t="str">
        <f>Dataset!E13</f>
        <v>Sunday</v>
      </c>
      <c r="F22" s="1">
        <f>Dataset!F13</f>
        <v>0.99998842592592596</v>
      </c>
      <c r="G22" s="1">
        <f>Dataset!G13</f>
        <v>21.9</v>
      </c>
      <c r="H22" s="1">
        <f>Dataset!H13</f>
        <v>32.1</v>
      </c>
      <c r="I22" s="1">
        <f>Dataset!I13</f>
        <v>40.1</v>
      </c>
      <c r="J22" s="1">
        <f>Dataset!J13</f>
        <v>-1</v>
      </c>
      <c r="K22" s="1">
        <f>Dataset!K13</f>
        <v>-1</v>
      </c>
      <c r="L22" s="1">
        <f>Dataset!L13</f>
        <v>-1</v>
      </c>
      <c r="M22" s="1">
        <f>Dataset!M13</f>
        <v>42.3</v>
      </c>
      <c r="N22" s="1">
        <f>Dataset!N13</f>
        <v>61.5</v>
      </c>
      <c r="O22" s="1">
        <f>Dataset!O13</f>
        <v>76.599999999999994</v>
      </c>
      <c r="P22" s="1">
        <f>Dataset!P13</f>
        <v>21.9</v>
      </c>
      <c r="Q22" s="1">
        <f>Dataset!Q13</f>
        <v>32.1</v>
      </c>
      <c r="R22" s="1">
        <f>Dataset!R13</f>
        <v>40.1</v>
      </c>
      <c r="S22" s="1">
        <f>Dataset!S13</f>
        <v>61.5</v>
      </c>
      <c r="T22" s="1">
        <f>Dataset!T13</f>
        <v>76.599999999999994</v>
      </c>
      <c r="U22" s="1">
        <f>Dataset!U13</f>
        <v>32.1</v>
      </c>
      <c r="V22" s="1">
        <f>Dataset!V13</f>
        <v>40.1</v>
      </c>
      <c r="W22" s="1">
        <f>Dataset!W13</f>
        <v>40.1</v>
      </c>
      <c r="X22" s="44">
        <f>Dataset!X13</f>
        <v>45110</v>
      </c>
    </row>
    <row r="23" spans="1:24" x14ac:dyDescent="0.35">
      <c r="A23" s="1" t="str">
        <f>Dataset!A14</f>
        <v>Blue Mountain</v>
      </c>
      <c r="B23" s="1">
        <f>Dataset!B14</f>
        <v>20024</v>
      </c>
      <c r="C23" s="1" t="str">
        <f>Dataset!C14</f>
        <v>Monday</v>
      </c>
      <c r="D23" s="1">
        <f>Dataset!D14</f>
        <v>0</v>
      </c>
      <c r="E23" s="1" t="str">
        <f>Dataset!E14</f>
        <v>Sunday</v>
      </c>
      <c r="F23" s="1">
        <f>Dataset!F14</f>
        <v>0.99998842592592596</v>
      </c>
      <c r="G23" s="1">
        <f>Dataset!G14</f>
        <v>23.5</v>
      </c>
      <c r="H23" s="1">
        <f>Dataset!H14</f>
        <v>34.700000000000003</v>
      </c>
      <c r="I23" s="1">
        <f>Dataset!I14</f>
        <v>42.7</v>
      </c>
      <c r="J23" s="1">
        <f>Dataset!J14</f>
        <v>-1</v>
      </c>
      <c r="K23" s="1">
        <f>Dataset!K14</f>
        <v>-1</v>
      </c>
      <c r="L23" s="1">
        <f>Dataset!L14</f>
        <v>-1</v>
      </c>
      <c r="M23" s="1">
        <f>Dataset!M14</f>
        <v>47.7</v>
      </c>
      <c r="N23" s="1">
        <f>Dataset!N14</f>
        <v>70.8</v>
      </c>
      <c r="O23" s="1">
        <f>Dataset!O14</f>
        <v>86.6</v>
      </c>
      <c r="P23" s="1">
        <f>Dataset!P14</f>
        <v>23.5</v>
      </c>
      <c r="Q23" s="1">
        <f>Dataset!Q14</f>
        <v>34.700000000000003</v>
      </c>
      <c r="R23" s="1">
        <f>Dataset!R14</f>
        <v>42.7</v>
      </c>
      <c r="S23" s="1">
        <f>Dataset!S14</f>
        <v>70.8</v>
      </c>
      <c r="T23" s="1">
        <f>Dataset!T14</f>
        <v>86.6</v>
      </c>
      <c r="U23" s="1">
        <f>Dataset!U14</f>
        <v>34.700000000000003</v>
      </c>
      <c r="V23" s="1">
        <f>Dataset!V14</f>
        <v>42.7</v>
      </c>
      <c r="W23" s="1">
        <f>Dataset!W14</f>
        <v>42.7</v>
      </c>
      <c r="X23" s="44">
        <f>Dataset!X14</f>
        <v>45095</v>
      </c>
    </row>
    <row r="24" spans="1:24" x14ac:dyDescent="0.35">
      <c r="A24" s="1" t="str">
        <f>Dataset!A15</f>
        <v>Carlisle</v>
      </c>
      <c r="B24" s="1">
        <f>Dataset!B15</f>
        <v>20026</v>
      </c>
      <c r="C24" s="1" t="str">
        <f>Dataset!C15</f>
        <v>Monday</v>
      </c>
      <c r="D24" s="1">
        <f>Dataset!D15</f>
        <v>0</v>
      </c>
      <c r="E24" s="1" t="str">
        <f>Dataset!E15</f>
        <v>Sunday</v>
      </c>
      <c r="F24" s="1">
        <f>Dataset!F15</f>
        <v>0.99998842592592596</v>
      </c>
      <c r="G24" s="1">
        <f>Dataset!G15</f>
        <v>26.8</v>
      </c>
      <c r="H24" s="1">
        <f>Dataset!H15</f>
        <v>39.299999999999997</v>
      </c>
      <c r="I24" s="1">
        <f>Dataset!I15</f>
        <v>47.9</v>
      </c>
      <c r="J24" s="1">
        <f>Dataset!J15</f>
        <v>-1</v>
      </c>
      <c r="K24" s="1">
        <f>Dataset!K15</f>
        <v>-1</v>
      </c>
      <c r="L24" s="1">
        <f>Dataset!L15</f>
        <v>-1</v>
      </c>
      <c r="M24" s="1">
        <f>Dataset!M15</f>
        <v>54.6</v>
      </c>
      <c r="N24" s="1">
        <f>Dataset!N15</f>
        <v>79.599999999999994</v>
      </c>
      <c r="O24" s="1">
        <f>Dataset!O15</f>
        <v>96.8</v>
      </c>
      <c r="P24" s="1">
        <f>Dataset!P15</f>
        <v>26.8</v>
      </c>
      <c r="Q24" s="1">
        <f>Dataset!Q15</f>
        <v>39.299999999999997</v>
      </c>
      <c r="R24" s="1">
        <f>Dataset!R15</f>
        <v>47.9</v>
      </c>
      <c r="S24" s="1">
        <f>Dataset!S15</f>
        <v>79.599999999999994</v>
      </c>
      <c r="T24" s="1">
        <f>Dataset!T15</f>
        <v>96.8</v>
      </c>
      <c r="U24" s="1">
        <f>Dataset!U15</f>
        <v>39.299999999999997</v>
      </c>
      <c r="V24" s="1">
        <f>Dataset!V15</f>
        <v>47.9</v>
      </c>
      <c r="W24" s="1">
        <f>Dataset!W15</f>
        <v>47.9</v>
      </c>
      <c r="X24" s="44">
        <f>Dataset!X15</f>
        <v>45113</v>
      </c>
    </row>
    <row r="25" spans="1:24" x14ac:dyDescent="0.35">
      <c r="A25" s="1" t="str">
        <f>Dataset!A16</f>
        <v>Gettysburg Pike</v>
      </c>
      <c r="B25" s="1">
        <f>Dataset!B16</f>
        <v>20028</v>
      </c>
      <c r="C25" s="1" t="str">
        <f>Dataset!C16</f>
        <v>Monday</v>
      </c>
      <c r="D25" s="1">
        <f>Dataset!D16</f>
        <v>0</v>
      </c>
      <c r="E25" s="1" t="str">
        <f>Dataset!E16</f>
        <v>Sunday</v>
      </c>
      <c r="F25" s="1">
        <f>Dataset!F16</f>
        <v>0.99998842592592596</v>
      </c>
      <c r="G25" s="1">
        <f>Dataset!G16</f>
        <v>28</v>
      </c>
      <c r="H25" s="1">
        <f>Dataset!H16</f>
        <v>41</v>
      </c>
      <c r="I25" s="1">
        <f>Dataset!I16</f>
        <v>50.1</v>
      </c>
      <c r="J25" s="1">
        <f>Dataset!J16</f>
        <v>-1</v>
      </c>
      <c r="K25" s="1">
        <f>Dataset!K16</f>
        <v>-1</v>
      </c>
      <c r="L25" s="1">
        <f>Dataset!L16</f>
        <v>-1</v>
      </c>
      <c r="M25" s="1">
        <f>Dataset!M16</f>
        <v>56.7</v>
      </c>
      <c r="N25" s="1">
        <f>Dataset!N16</f>
        <v>83.2</v>
      </c>
      <c r="O25" s="1">
        <f>Dataset!O16</f>
        <v>101.3</v>
      </c>
      <c r="P25" s="1">
        <f>Dataset!P16</f>
        <v>28</v>
      </c>
      <c r="Q25" s="1">
        <f>Dataset!Q16</f>
        <v>41</v>
      </c>
      <c r="R25" s="1">
        <f>Dataset!R16</f>
        <v>50.1</v>
      </c>
      <c r="S25" s="1">
        <f>Dataset!S16</f>
        <v>83.2</v>
      </c>
      <c r="T25" s="1">
        <f>Dataset!T16</f>
        <v>101.3</v>
      </c>
      <c r="U25" s="1">
        <f>Dataset!U16</f>
        <v>41</v>
      </c>
      <c r="V25" s="1">
        <f>Dataset!V16</f>
        <v>50.1</v>
      </c>
      <c r="W25" s="1">
        <f>Dataset!W16</f>
        <v>50.1</v>
      </c>
      <c r="X25" s="44">
        <f>Dataset!X16</f>
        <v>45063</v>
      </c>
    </row>
    <row r="26" spans="1:24" x14ac:dyDescent="0.35">
      <c r="A26" s="1" t="str">
        <f>Dataset!A17</f>
        <v>Harrisburg West</v>
      </c>
      <c r="B26" s="1">
        <f>Dataset!B17</f>
        <v>20030</v>
      </c>
      <c r="C26" s="1" t="str">
        <f>Dataset!C17</f>
        <v>Monday</v>
      </c>
      <c r="D26" s="1">
        <f>Dataset!D17</f>
        <v>0</v>
      </c>
      <c r="E26" s="1" t="str">
        <f>Dataset!E17</f>
        <v>Sunday</v>
      </c>
      <c r="F26" s="1">
        <f>Dataset!F17</f>
        <v>0.99998842592592596</v>
      </c>
      <c r="G26" s="1">
        <f>Dataset!G17</f>
        <v>28.5</v>
      </c>
      <c r="H26" s="1">
        <f>Dataset!H17</f>
        <v>42.3</v>
      </c>
      <c r="I26" s="1">
        <f>Dataset!I17</f>
        <v>52.3</v>
      </c>
      <c r="J26" s="1">
        <f>Dataset!J17</f>
        <v>-1</v>
      </c>
      <c r="K26" s="1">
        <f>Dataset!K17</f>
        <v>-1</v>
      </c>
      <c r="L26" s="1">
        <f>Dataset!L17</f>
        <v>-1</v>
      </c>
      <c r="M26" s="1">
        <f>Dataset!M17</f>
        <v>58.3</v>
      </c>
      <c r="N26" s="1">
        <f>Dataset!N17</f>
        <v>85.4</v>
      </c>
      <c r="O26" s="1">
        <f>Dataset!O17</f>
        <v>106.1</v>
      </c>
      <c r="P26" s="1">
        <f>Dataset!P17</f>
        <v>28.5</v>
      </c>
      <c r="Q26" s="1">
        <f>Dataset!Q17</f>
        <v>42.3</v>
      </c>
      <c r="R26" s="1">
        <f>Dataset!R17</f>
        <v>52.3</v>
      </c>
      <c r="S26" s="1">
        <f>Dataset!S17</f>
        <v>85.4</v>
      </c>
      <c r="T26" s="1">
        <f>Dataset!T17</f>
        <v>106.1</v>
      </c>
      <c r="U26" s="1">
        <f>Dataset!U17</f>
        <v>42.3</v>
      </c>
      <c r="V26" s="1">
        <f>Dataset!V17</f>
        <v>52.3</v>
      </c>
      <c r="W26" s="1">
        <f>Dataset!W17</f>
        <v>52.3</v>
      </c>
      <c r="X26" s="44">
        <f>Dataset!X17</f>
        <v>45071</v>
      </c>
    </row>
    <row r="27" spans="1:24" x14ac:dyDescent="0.35">
      <c r="A27" s="1" t="str">
        <f>Dataset!A18</f>
        <v>Harrisburg East</v>
      </c>
      <c r="B27" s="1">
        <f>Dataset!B18</f>
        <v>20032</v>
      </c>
      <c r="C27" s="1" t="str">
        <f>Dataset!C18</f>
        <v>Monday</v>
      </c>
      <c r="D27" s="1">
        <f>Dataset!D18</f>
        <v>0</v>
      </c>
      <c r="E27" s="1" t="str">
        <f>Dataset!E18</f>
        <v>Sunday</v>
      </c>
      <c r="F27" s="1">
        <f>Dataset!F18</f>
        <v>0.99998842592592596</v>
      </c>
      <c r="G27" s="1">
        <f>Dataset!G18</f>
        <v>29.1</v>
      </c>
      <c r="H27" s="1">
        <f>Dataset!H18</f>
        <v>43.3</v>
      </c>
      <c r="I27" s="1">
        <f>Dataset!I18</f>
        <v>53.7</v>
      </c>
      <c r="J27" s="1">
        <f>Dataset!J18</f>
        <v>-1</v>
      </c>
      <c r="K27" s="1">
        <f>Dataset!K18</f>
        <v>-1</v>
      </c>
      <c r="L27" s="1">
        <f>Dataset!L18</f>
        <v>-1</v>
      </c>
      <c r="M27" s="1">
        <f>Dataset!M18</f>
        <v>59</v>
      </c>
      <c r="N27" s="1">
        <f>Dataset!N18</f>
        <v>87.6</v>
      </c>
      <c r="O27" s="1">
        <f>Dataset!O18</f>
        <v>108.8</v>
      </c>
      <c r="P27" s="1">
        <f>Dataset!P18</f>
        <v>29.1</v>
      </c>
      <c r="Q27" s="1">
        <f>Dataset!Q18</f>
        <v>43.3</v>
      </c>
      <c r="R27" s="1">
        <f>Dataset!R18</f>
        <v>53.7</v>
      </c>
      <c r="S27" s="1">
        <f>Dataset!S18</f>
        <v>87.6</v>
      </c>
      <c r="T27" s="1">
        <f>Dataset!T18</f>
        <v>108.8</v>
      </c>
      <c r="U27" s="1">
        <f>Dataset!U18</f>
        <v>43.3</v>
      </c>
      <c r="V27" s="1">
        <f>Dataset!V18</f>
        <v>53.7</v>
      </c>
      <c r="W27" s="1">
        <f>Dataset!W18</f>
        <v>53.7</v>
      </c>
      <c r="X27" s="44">
        <f>Dataset!X18</f>
        <v>45085</v>
      </c>
    </row>
    <row r="28" spans="1:24" x14ac:dyDescent="0.35">
      <c r="A28" s="1" t="str">
        <f>Dataset!A19</f>
        <v>Lebanon-Lancaster</v>
      </c>
      <c r="B28" s="1">
        <f>Dataset!B19</f>
        <v>20034</v>
      </c>
      <c r="C28" s="1" t="str">
        <f>Dataset!C19</f>
        <v>Monday</v>
      </c>
      <c r="D28" s="1">
        <f>Dataset!D19</f>
        <v>0</v>
      </c>
      <c r="E28" s="1" t="str">
        <f>Dataset!E19</f>
        <v>Sunday</v>
      </c>
      <c r="F28" s="1">
        <f>Dataset!F19</f>
        <v>0.99998842592592596</v>
      </c>
      <c r="G28" s="1">
        <f>Dataset!G19</f>
        <v>30.7</v>
      </c>
      <c r="H28" s="1">
        <f>Dataset!H19</f>
        <v>45.5</v>
      </c>
      <c r="I28" s="1">
        <f>Dataset!I19</f>
        <v>57</v>
      </c>
      <c r="J28" s="1">
        <f>Dataset!J19</f>
        <v>-1</v>
      </c>
      <c r="K28" s="1">
        <f>Dataset!K19</f>
        <v>-1</v>
      </c>
      <c r="L28" s="1">
        <f>Dataset!L19</f>
        <v>-1</v>
      </c>
      <c r="M28" s="1">
        <f>Dataset!M19</f>
        <v>62.5</v>
      </c>
      <c r="N28" s="1">
        <f>Dataset!N19</f>
        <v>92.1</v>
      </c>
      <c r="O28" s="1">
        <f>Dataset!O19</f>
        <v>115.1</v>
      </c>
      <c r="P28" s="1">
        <f>Dataset!P19</f>
        <v>30.7</v>
      </c>
      <c r="Q28" s="1">
        <f>Dataset!Q19</f>
        <v>45.5</v>
      </c>
      <c r="R28" s="1">
        <f>Dataset!R19</f>
        <v>57</v>
      </c>
      <c r="S28" s="1">
        <f>Dataset!S19</f>
        <v>92.1</v>
      </c>
      <c r="T28" s="1">
        <f>Dataset!T19</f>
        <v>115.1</v>
      </c>
      <c r="U28" s="1">
        <f>Dataset!U19</f>
        <v>45.5</v>
      </c>
      <c r="V28" s="1">
        <f>Dataset!V19</f>
        <v>57</v>
      </c>
      <c r="W28" s="1">
        <f>Dataset!W19</f>
        <v>57</v>
      </c>
      <c r="X28" s="44">
        <f>Dataset!X19</f>
        <v>45099</v>
      </c>
    </row>
    <row r="29" spans="1:24" x14ac:dyDescent="0.35">
      <c r="A29" s="1" t="str">
        <f>Dataset!A20</f>
        <v>Reading</v>
      </c>
      <c r="B29" s="1">
        <f>Dataset!B20</f>
        <v>20036</v>
      </c>
      <c r="C29" s="1" t="str">
        <f>Dataset!C20</f>
        <v>Monday</v>
      </c>
      <c r="D29" s="1">
        <f>Dataset!D20</f>
        <v>0</v>
      </c>
      <c r="E29" s="1" t="str">
        <f>Dataset!E20</f>
        <v>Sunday</v>
      </c>
      <c r="F29" s="1">
        <f>Dataset!F20</f>
        <v>0.99998842592592596</v>
      </c>
      <c r="G29" s="1">
        <f>Dataset!G20</f>
        <v>33.799999999999997</v>
      </c>
      <c r="H29" s="1">
        <f>Dataset!H20</f>
        <v>50.1</v>
      </c>
      <c r="I29" s="1">
        <f>Dataset!I20</f>
        <v>61.4</v>
      </c>
      <c r="J29" s="1">
        <f>Dataset!J20</f>
        <v>-1</v>
      </c>
      <c r="K29" s="1">
        <f>Dataset!K20</f>
        <v>-1</v>
      </c>
      <c r="L29" s="1">
        <f>Dataset!L20</f>
        <v>-1</v>
      </c>
      <c r="M29" s="1">
        <f>Dataset!M20</f>
        <v>67.900000000000006</v>
      </c>
      <c r="N29" s="1">
        <f>Dataset!N20</f>
        <v>101.3</v>
      </c>
      <c r="O29" s="1">
        <f>Dataset!O20</f>
        <v>124.4</v>
      </c>
      <c r="P29" s="1">
        <f>Dataset!P20</f>
        <v>33.799999999999997</v>
      </c>
      <c r="Q29" s="1">
        <f>Dataset!Q20</f>
        <v>50.1</v>
      </c>
      <c r="R29" s="1">
        <f>Dataset!R20</f>
        <v>61.4</v>
      </c>
      <c r="S29" s="1">
        <f>Dataset!S20</f>
        <v>101.3</v>
      </c>
      <c r="T29" s="1">
        <f>Dataset!T20</f>
        <v>124.4</v>
      </c>
      <c r="U29" s="1">
        <f>Dataset!U20</f>
        <v>50.1</v>
      </c>
      <c r="V29" s="1">
        <f>Dataset!V20</f>
        <v>61.4</v>
      </c>
      <c r="W29" s="1">
        <f>Dataset!W20</f>
        <v>61.4</v>
      </c>
      <c r="X29" s="44">
        <f>Dataset!X20</f>
        <v>45091</v>
      </c>
    </row>
    <row r="30" spans="1:24" x14ac:dyDescent="0.35">
      <c r="A30" s="1" t="str">
        <f>Dataset!A21</f>
        <v>Morgantown</v>
      </c>
      <c r="B30" s="1">
        <f>Dataset!B21</f>
        <v>20038</v>
      </c>
      <c r="C30" s="1" t="str">
        <f>Dataset!C21</f>
        <v>Monday</v>
      </c>
      <c r="D30" s="1">
        <f>Dataset!D21</f>
        <v>0</v>
      </c>
      <c r="E30" s="1" t="str">
        <f>Dataset!E21</f>
        <v>Sunday</v>
      </c>
      <c r="F30" s="1">
        <f>Dataset!F21</f>
        <v>0.99998842592592596</v>
      </c>
      <c r="G30" s="1">
        <f>Dataset!G21</f>
        <v>34.700000000000003</v>
      </c>
      <c r="H30" s="1">
        <f>Dataset!H21</f>
        <v>52.3</v>
      </c>
      <c r="I30" s="1">
        <f>Dataset!I21</f>
        <v>63.6</v>
      </c>
      <c r="J30" s="1">
        <f>Dataset!J21</f>
        <v>-1</v>
      </c>
      <c r="K30" s="1">
        <f>Dataset!K21</f>
        <v>-1</v>
      </c>
      <c r="L30" s="1">
        <f>Dataset!L21</f>
        <v>-1</v>
      </c>
      <c r="M30" s="1">
        <f>Dataset!M21</f>
        <v>70.8</v>
      </c>
      <c r="N30" s="1">
        <f>Dataset!N21</f>
        <v>106.1</v>
      </c>
      <c r="O30" s="1">
        <f>Dataset!O21</f>
        <v>128.6</v>
      </c>
      <c r="P30" s="1">
        <f>Dataset!P21</f>
        <v>34.700000000000003</v>
      </c>
      <c r="Q30" s="1">
        <f>Dataset!Q21</f>
        <v>52.3</v>
      </c>
      <c r="R30" s="1">
        <f>Dataset!R21</f>
        <v>63.6</v>
      </c>
      <c r="S30" s="1">
        <f>Dataset!S21</f>
        <v>106.1</v>
      </c>
      <c r="T30" s="1">
        <f>Dataset!T21</f>
        <v>128.6</v>
      </c>
      <c r="U30" s="1">
        <f>Dataset!U21</f>
        <v>52.3</v>
      </c>
      <c r="V30" s="1">
        <f>Dataset!V21</f>
        <v>63.6</v>
      </c>
      <c r="W30" s="1">
        <f>Dataset!W21</f>
        <v>63.6</v>
      </c>
      <c r="X30" s="44">
        <f>Dataset!X21</f>
        <v>45079</v>
      </c>
    </row>
    <row r="31" spans="1:24" x14ac:dyDescent="0.35">
      <c r="A31" s="1" t="str">
        <f>Dataset!A22</f>
        <v>Downingtown</v>
      </c>
      <c r="B31" s="1">
        <f>Dataset!B22</f>
        <v>20040</v>
      </c>
      <c r="C31" s="1" t="str">
        <f>Dataset!C22</f>
        <v>Monday</v>
      </c>
      <c r="D31" s="1">
        <f>Dataset!D22</f>
        <v>0</v>
      </c>
      <c r="E31" s="1" t="str">
        <f>Dataset!E22</f>
        <v>Sunday</v>
      </c>
      <c r="F31" s="1">
        <f>Dataset!F22</f>
        <v>0.99998842592592596</v>
      </c>
      <c r="G31" s="1">
        <f>Dataset!G22</f>
        <v>36.5</v>
      </c>
      <c r="H31" s="1">
        <f>Dataset!H22</f>
        <v>54.6</v>
      </c>
      <c r="I31" s="1">
        <f>Dataset!I22</f>
        <v>65.900000000000006</v>
      </c>
      <c r="J31" s="1">
        <f>Dataset!J22</f>
        <v>-1</v>
      </c>
      <c r="K31" s="1">
        <f>Dataset!K22</f>
        <v>-1</v>
      </c>
      <c r="L31" s="1">
        <f>Dataset!L22</f>
        <v>-1</v>
      </c>
      <c r="M31" s="1">
        <f>Dataset!M22</f>
        <v>73.900000000000006</v>
      </c>
      <c r="N31" s="1">
        <f>Dataset!N22</f>
        <v>110.3</v>
      </c>
      <c r="O31" s="1">
        <f>Dataset!O22</f>
        <v>133.4</v>
      </c>
      <c r="P31" s="1">
        <f>Dataset!P22</f>
        <v>36.5</v>
      </c>
      <c r="Q31" s="1">
        <f>Dataset!Q22</f>
        <v>54.6</v>
      </c>
      <c r="R31" s="1">
        <f>Dataset!R22</f>
        <v>65.900000000000006</v>
      </c>
      <c r="S31" s="1">
        <f>Dataset!S22</f>
        <v>110.3</v>
      </c>
      <c r="T31" s="1">
        <f>Dataset!T22</f>
        <v>133.4</v>
      </c>
      <c r="U31" s="1">
        <f>Dataset!U22</f>
        <v>54.6</v>
      </c>
      <c r="V31" s="1">
        <f>Dataset!V22</f>
        <v>65.900000000000006</v>
      </c>
      <c r="W31" s="1">
        <f>Dataset!W22</f>
        <v>65.900000000000006</v>
      </c>
      <c r="X31" s="44">
        <f>Dataset!X22</f>
        <v>45075</v>
      </c>
    </row>
    <row r="32" spans="1:24" x14ac:dyDescent="0.35">
      <c r="A32" s="1" t="str">
        <f>Dataset!A23</f>
        <v>S.R. 29</v>
      </c>
      <c r="B32" s="1">
        <f>Dataset!B23</f>
        <v>20042</v>
      </c>
      <c r="C32" s="1" t="str">
        <f>Dataset!C23</f>
        <v>Monday</v>
      </c>
      <c r="D32" s="1">
        <f>Dataset!D23</f>
        <v>0</v>
      </c>
      <c r="E32" s="1" t="str">
        <f>Dataset!E23</f>
        <v>Sunday</v>
      </c>
      <c r="F32" s="1">
        <f>Dataset!F23</f>
        <v>0.99998842592592596</v>
      </c>
      <c r="G32" s="1">
        <f>Dataset!G23</f>
        <v>38</v>
      </c>
      <c r="H32" s="1">
        <f>Dataset!H23</f>
        <v>57.2</v>
      </c>
      <c r="I32" s="1">
        <f>Dataset!I23</f>
        <v>68.7</v>
      </c>
      <c r="J32" s="1">
        <f>Dataset!J23</f>
        <v>-1</v>
      </c>
      <c r="K32" s="1">
        <f>Dataset!K23</f>
        <v>-1</v>
      </c>
      <c r="L32" s="1">
        <f>Dataset!L23</f>
        <v>-1</v>
      </c>
      <c r="M32" s="1">
        <f>Dataset!M23</f>
        <v>76.599999999999994</v>
      </c>
      <c r="N32" s="1">
        <f>Dataset!N23</f>
        <v>115.5</v>
      </c>
      <c r="O32" s="1">
        <f>Dataset!O23</f>
        <v>138.80000000000001</v>
      </c>
      <c r="P32" s="1">
        <f>Dataset!P23</f>
        <v>38</v>
      </c>
      <c r="Q32" s="1">
        <f>Dataset!Q23</f>
        <v>57.2</v>
      </c>
      <c r="R32" s="1">
        <f>Dataset!R23</f>
        <v>68.7</v>
      </c>
      <c r="S32" s="1">
        <f>Dataset!S23</f>
        <v>115.5</v>
      </c>
      <c r="T32" s="1">
        <f>Dataset!T23</f>
        <v>138.80000000000001</v>
      </c>
      <c r="U32" s="1">
        <f>Dataset!U23</f>
        <v>57.2</v>
      </c>
      <c r="V32" s="1">
        <f>Dataset!V23</f>
        <v>68.7</v>
      </c>
      <c r="W32" s="1">
        <f>Dataset!W23</f>
        <v>68.7</v>
      </c>
      <c r="X32" s="44">
        <f>Dataset!X23</f>
        <v>45110</v>
      </c>
    </row>
    <row r="33" spans="1:24" x14ac:dyDescent="0.35">
      <c r="A33" s="1" t="str">
        <f>Dataset!A24</f>
        <v>Valley Forge</v>
      </c>
      <c r="B33" s="1">
        <f>Dataset!B24</f>
        <v>20044</v>
      </c>
      <c r="C33" s="1" t="str">
        <f>Dataset!C24</f>
        <v>Monday</v>
      </c>
      <c r="D33" s="1">
        <f>Dataset!D24</f>
        <v>0</v>
      </c>
      <c r="E33" s="1" t="str">
        <f>Dataset!E24</f>
        <v>Sunday</v>
      </c>
      <c r="F33" s="1">
        <f>Dataset!F24</f>
        <v>0.99998842592592596</v>
      </c>
      <c r="G33" s="1">
        <f>Dataset!G24</f>
        <v>38.700000000000003</v>
      </c>
      <c r="H33" s="1">
        <f>Dataset!H24</f>
        <v>59.2</v>
      </c>
      <c r="I33" s="1">
        <f>Dataset!I24</f>
        <v>70.400000000000006</v>
      </c>
      <c r="J33" s="1">
        <f>Dataset!J24</f>
        <v>-1</v>
      </c>
      <c r="K33" s="1">
        <f>Dataset!K24</f>
        <v>-1</v>
      </c>
      <c r="L33" s="1">
        <f>Dataset!L24</f>
        <v>-1</v>
      </c>
      <c r="M33" s="1">
        <f>Dataset!M24</f>
        <v>78.599999999999994</v>
      </c>
      <c r="N33" s="1">
        <f>Dataset!N24</f>
        <v>119.4</v>
      </c>
      <c r="O33" s="1">
        <f>Dataset!O24</f>
        <v>142.5</v>
      </c>
      <c r="P33" s="1">
        <f>Dataset!P24</f>
        <v>38.700000000000003</v>
      </c>
      <c r="Q33" s="1">
        <f>Dataset!Q24</f>
        <v>59.2</v>
      </c>
      <c r="R33" s="1">
        <f>Dataset!R24</f>
        <v>70.400000000000006</v>
      </c>
      <c r="S33" s="1">
        <f>Dataset!S24</f>
        <v>119.4</v>
      </c>
      <c r="T33" s="1">
        <f>Dataset!T24</f>
        <v>142.5</v>
      </c>
      <c r="U33" s="1">
        <f>Dataset!U24</f>
        <v>59.2</v>
      </c>
      <c r="V33" s="1">
        <f>Dataset!V24</f>
        <v>70.400000000000006</v>
      </c>
      <c r="W33" s="1">
        <f>Dataset!W24</f>
        <v>70.400000000000006</v>
      </c>
      <c r="X33" s="44">
        <f>Dataset!X24</f>
        <v>45114</v>
      </c>
    </row>
    <row r="34" spans="1:24" x14ac:dyDescent="0.35">
      <c r="A34" s="1" t="str">
        <f>Dataset!A25</f>
        <v>Norristown</v>
      </c>
      <c r="B34" s="1">
        <f>Dataset!B25</f>
        <v>20046</v>
      </c>
      <c r="C34" s="1" t="str">
        <f>Dataset!C25</f>
        <v>Monday</v>
      </c>
      <c r="D34" s="1">
        <f>Dataset!D25</f>
        <v>0</v>
      </c>
      <c r="E34" s="1" t="str">
        <f>Dataset!E25</f>
        <v>Sunday</v>
      </c>
      <c r="F34" s="1">
        <f>Dataset!F25</f>
        <v>0.99998842592592596</v>
      </c>
      <c r="G34" s="1">
        <f>Dataset!G25</f>
        <v>40.1</v>
      </c>
      <c r="H34" s="1">
        <f>Dataset!H25</f>
        <v>59.2</v>
      </c>
      <c r="I34" s="1">
        <f>Dataset!I25</f>
        <v>72.8</v>
      </c>
      <c r="J34" s="1">
        <f>Dataset!J25</f>
        <v>-1</v>
      </c>
      <c r="K34" s="1">
        <f>Dataset!K25</f>
        <v>-1</v>
      </c>
      <c r="L34" s="1">
        <f>Dataset!L25</f>
        <v>-1</v>
      </c>
      <c r="M34" s="1">
        <f>Dataset!M25</f>
        <v>80.8</v>
      </c>
      <c r="N34" s="1">
        <f>Dataset!N25</f>
        <v>119.4</v>
      </c>
      <c r="O34" s="1">
        <f>Dataset!O25</f>
        <v>146.80000000000001</v>
      </c>
      <c r="P34" s="1">
        <f>Dataset!P25</f>
        <v>40.1</v>
      </c>
      <c r="Q34" s="1">
        <f>Dataset!Q25</f>
        <v>59.2</v>
      </c>
      <c r="R34" s="1">
        <f>Dataset!R25</f>
        <v>72.8</v>
      </c>
      <c r="S34" s="1">
        <f>Dataset!S25</f>
        <v>119.4</v>
      </c>
      <c r="T34" s="1">
        <f>Dataset!T25</f>
        <v>146.80000000000001</v>
      </c>
      <c r="U34" s="1">
        <f>Dataset!U25</f>
        <v>59.2</v>
      </c>
      <c r="V34" s="1">
        <f>Dataset!V25</f>
        <v>72.8</v>
      </c>
      <c r="W34" s="1">
        <f>Dataset!W25</f>
        <v>72.8</v>
      </c>
      <c r="X34" s="44">
        <f>Dataset!X25</f>
        <v>45118</v>
      </c>
    </row>
    <row r="35" spans="1:24" x14ac:dyDescent="0.35">
      <c r="A35" s="1" t="str">
        <f>Dataset!A26</f>
        <v>Fort Washington</v>
      </c>
      <c r="B35" s="1">
        <f>Dataset!B26</f>
        <v>20048</v>
      </c>
      <c r="C35" s="1" t="str">
        <f>Dataset!C26</f>
        <v>Monday</v>
      </c>
      <c r="D35" s="1">
        <f>Dataset!D26</f>
        <v>0</v>
      </c>
      <c r="E35" s="1" t="str">
        <f>Dataset!E26</f>
        <v>Sunday</v>
      </c>
      <c r="F35" s="1">
        <f>Dataset!F26</f>
        <v>0.99998842592592596</v>
      </c>
      <c r="G35" s="1">
        <f>Dataset!G26</f>
        <v>0</v>
      </c>
      <c r="H35" s="1">
        <f>Dataset!H26</f>
        <v>0</v>
      </c>
      <c r="I35" s="1">
        <f>Dataset!I26</f>
        <v>0</v>
      </c>
      <c r="J35" s="1">
        <f>Dataset!J26</f>
        <v>0</v>
      </c>
      <c r="K35" s="1">
        <f>Dataset!K26</f>
        <v>0</v>
      </c>
      <c r="L35" s="1">
        <f>Dataset!L26</f>
        <v>0</v>
      </c>
      <c r="M35" s="1">
        <f>Dataset!M26</f>
        <v>0</v>
      </c>
      <c r="N35" s="1">
        <f>Dataset!N26</f>
        <v>0</v>
      </c>
      <c r="O35" s="1">
        <f>Dataset!O26</f>
        <v>0</v>
      </c>
      <c r="P35" s="1">
        <f>Dataset!P26</f>
        <v>0</v>
      </c>
      <c r="Q35" s="1">
        <f>Dataset!Q26</f>
        <v>0</v>
      </c>
      <c r="R35" s="1">
        <f>Dataset!R26</f>
        <v>0</v>
      </c>
      <c r="S35" s="1">
        <f>Dataset!S26</f>
        <v>0</v>
      </c>
      <c r="T35" s="1">
        <f>Dataset!T26</f>
        <v>0</v>
      </c>
      <c r="U35" s="1">
        <f>Dataset!U26</f>
        <v>0</v>
      </c>
      <c r="V35" s="1">
        <f>Dataset!V26</f>
        <v>0</v>
      </c>
      <c r="W35" s="1">
        <f>Dataset!W26</f>
        <v>0</v>
      </c>
      <c r="X35" s="44">
        <f>Dataset!X26</f>
        <v>45142</v>
      </c>
    </row>
    <row r="36" spans="1:24" x14ac:dyDescent="0.35">
      <c r="A36" s="1" t="str">
        <f>Dataset!A27</f>
        <v xml:space="preserve">Virginia Drive </v>
      </c>
      <c r="B36" s="1">
        <f>Dataset!B27</f>
        <v>20050</v>
      </c>
      <c r="C36" s="1" t="str">
        <f>Dataset!C27</f>
        <v>Monday</v>
      </c>
      <c r="D36" s="1">
        <f>Dataset!D27</f>
        <v>0</v>
      </c>
      <c r="E36" s="1" t="str">
        <f>Dataset!E27</f>
        <v>Sunday</v>
      </c>
      <c r="F36" s="1">
        <f>Dataset!F27</f>
        <v>0.99998842592592596</v>
      </c>
      <c r="G36" s="1">
        <f>Dataset!G27</f>
        <v>41.3</v>
      </c>
      <c r="H36" s="1">
        <f>Dataset!H27</f>
        <v>61.4</v>
      </c>
      <c r="I36" s="1">
        <f>Dataset!I27</f>
        <v>75</v>
      </c>
      <c r="J36" s="1">
        <f>Dataset!J27</f>
        <v>-1</v>
      </c>
      <c r="K36" s="1">
        <f>Dataset!K27</f>
        <v>-1</v>
      </c>
      <c r="L36" s="1">
        <f>Dataset!L27</f>
        <v>-1</v>
      </c>
      <c r="M36" s="1">
        <f>Dataset!M27</f>
        <v>83.5</v>
      </c>
      <c r="N36" s="1">
        <f>Dataset!N27</f>
        <v>124.4</v>
      </c>
      <c r="O36" s="1">
        <f>Dataset!O27</f>
        <v>151.5</v>
      </c>
      <c r="P36" s="1">
        <f>Dataset!P27</f>
        <v>41.3</v>
      </c>
      <c r="Q36" s="1">
        <f>Dataset!Q27</f>
        <v>61.4</v>
      </c>
      <c r="R36" s="1">
        <f>Dataset!R27</f>
        <v>75</v>
      </c>
      <c r="S36" s="1">
        <f>Dataset!S27</f>
        <v>124.4</v>
      </c>
      <c r="T36" s="1">
        <f>Dataset!T27</f>
        <v>151.5</v>
      </c>
      <c r="U36" s="1">
        <f>Dataset!U27</f>
        <v>61.4</v>
      </c>
      <c r="V36" s="1">
        <f>Dataset!V27</f>
        <v>75</v>
      </c>
      <c r="W36" s="1">
        <f>Dataset!W27</f>
        <v>75</v>
      </c>
      <c r="X36" s="44">
        <f>Dataset!X27</f>
        <v>45146</v>
      </c>
    </row>
    <row r="37" spans="1:24" x14ac:dyDescent="0.35">
      <c r="A37" s="1" t="str">
        <f>Dataset!A28</f>
        <v>Willow Grove</v>
      </c>
      <c r="B37" s="1">
        <f>Dataset!B28</f>
        <v>20052</v>
      </c>
      <c r="C37" s="1" t="str">
        <f>Dataset!C28</f>
        <v>Monday</v>
      </c>
      <c r="D37" s="1">
        <f>Dataset!D28</f>
        <v>0</v>
      </c>
      <c r="E37" s="1" t="str">
        <f>Dataset!E28</f>
        <v>Sunday</v>
      </c>
      <c r="F37" s="1">
        <f>Dataset!F28</f>
        <v>0.99998842592592596</v>
      </c>
      <c r="G37" s="1">
        <f>Dataset!G28</f>
        <v>42.3</v>
      </c>
      <c r="H37" s="1">
        <f>Dataset!H28</f>
        <v>61.4</v>
      </c>
      <c r="I37" s="1">
        <f>Dataset!I28</f>
        <v>75</v>
      </c>
      <c r="J37" s="1">
        <f>Dataset!J28</f>
        <v>-1</v>
      </c>
      <c r="K37" s="1">
        <f>Dataset!K28</f>
        <v>-1</v>
      </c>
      <c r="L37" s="1">
        <f>Dataset!L28</f>
        <v>-1</v>
      </c>
      <c r="M37" s="1">
        <f>Dataset!M28</f>
        <v>85.4</v>
      </c>
      <c r="N37" s="1">
        <f>Dataset!N28</f>
        <v>124.4</v>
      </c>
      <c r="O37" s="1">
        <f>Dataset!O28</f>
        <v>151.5</v>
      </c>
      <c r="P37" s="1">
        <f>Dataset!P28</f>
        <v>42.3</v>
      </c>
      <c r="Q37" s="1">
        <f>Dataset!Q28</f>
        <v>61.4</v>
      </c>
      <c r="R37" s="1">
        <f>Dataset!R28</f>
        <v>75</v>
      </c>
      <c r="S37" s="1">
        <f>Dataset!S28</f>
        <v>124.4</v>
      </c>
      <c r="T37" s="1">
        <f>Dataset!T28</f>
        <v>151.5</v>
      </c>
      <c r="U37" s="1">
        <f>Dataset!U28</f>
        <v>61.4</v>
      </c>
      <c r="V37" s="1">
        <f>Dataset!V28</f>
        <v>75</v>
      </c>
      <c r="W37" s="1">
        <f>Dataset!W28</f>
        <v>75</v>
      </c>
      <c r="X37" s="44">
        <f>Dataset!X28</f>
        <v>45108</v>
      </c>
    </row>
    <row r="38" spans="1:24" x14ac:dyDescent="0.35">
      <c r="A38" s="1" t="str">
        <f>Dataset!A29</f>
        <v>Bensalem</v>
      </c>
      <c r="B38" s="1">
        <f>Dataset!B29</f>
        <v>20054</v>
      </c>
      <c r="C38" s="1" t="str">
        <f>Dataset!C29</f>
        <v>Monday</v>
      </c>
      <c r="D38" s="1">
        <f>Dataset!D29</f>
        <v>0</v>
      </c>
      <c r="E38" s="1" t="str">
        <f>Dataset!E29</f>
        <v>Sunday</v>
      </c>
      <c r="F38" s="1">
        <f>Dataset!F29</f>
        <v>0.99998842592592596</v>
      </c>
      <c r="G38" s="1">
        <f>Dataset!G29</f>
        <v>43.3</v>
      </c>
      <c r="H38" s="1">
        <f>Dataset!H29</f>
        <v>63.6</v>
      </c>
      <c r="I38" s="1">
        <f>Dataset!I29</f>
        <v>77.2</v>
      </c>
      <c r="J38" s="1">
        <f>Dataset!J29</f>
        <v>-1</v>
      </c>
      <c r="K38" s="1">
        <f>Dataset!K29</f>
        <v>-1</v>
      </c>
      <c r="L38" s="1">
        <f>Dataset!L29</f>
        <v>-1</v>
      </c>
      <c r="M38" s="1">
        <f>Dataset!M29</f>
        <v>87.6</v>
      </c>
      <c r="N38" s="1">
        <f>Dataset!N29</f>
        <v>128.6</v>
      </c>
      <c r="O38" s="1">
        <f>Dataset!O29</f>
        <v>156.4</v>
      </c>
      <c r="P38" s="1">
        <f>Dataset!P29</f>
        <v>43.3</v>
      </c>
      <c r="Q38" s="1">
        <f>Dataset!Q29</f>
        <v>63.6</v>
      </c>
      <c r="R38" s="1">
        <f>Dataset!R29</f>
        <v>77.2</v>
      </c>
      <c r="S38" s="1">
        <f>Dataset!S29</f>
        <v>128.6</v>
      </c>
      <c r="T38" s="1">
        <f>Dataset!T29</f>
        <v>156.4</v>
      </c>
      <c r="U38" s="1">
        <f>Dataset!U29</f>
        <v>63.6</v>
      </c>
      <c r="V38" s="1">
        <f>Dataset!V29</f>
        <v>77.2</v>
      </c>
      <c r="W38" s="1">
        <f>Dataset!W29</f>
        <v>77.2</v>
      </c>
      <c r="X38" s="44">
        <f>Dataset!X29</f>
        <v>45153</v>
      </c>
    </row>
    <row r="39" spans="1:24" x14ac:dyDescent="0.35">
      <c r="A39" s="1" t="str">
        <f>Dataset!A30</f>
        <v xml:space="preserve">St. Rd </v>
      </c>
      <c r="B39" s="1">
        <f>Dataset!B30</f>
        <v>20058</v>
      </c>
      <c r="C39" s="1" t="str">
        <f>Dataset!C30</f>
        <v>Monday</v>
      </c>
      <c r="D39" s="1">
        <f>Dataset!D30</f>
        <v>0</v>
      </c>
      <c r="E39" s="1" t="str">
        <f>Dataset!E30</f>
        <v>Sunday</v>
      </c>
      <c r="F39" s="1">
        <f>Dataset!F30</f>
        <v>0.99998842592592596</v>
      </c>
      <c r="G39" s="1">
        <f>Dataset!G30</f>
        <v>-1</v>
      </c>
      <c r="H39" s="1">
        <f>Dataset!H30</f>
        <v>-1</v>
      </c>
      <c r="I39" s="1">
        <f>Dataset!I30</f>
        <v>-1</v>
      </c>
      <c r="J39" s="1">
        <f>Dataset!J30</f>
        <v>-1</v>
      </c>
      <c r="K39" s="1">
        <f>Dataset!K30</f>
        <v>-1</v>
      </c>
      <c r="L39" s="1">
        <f>Dataset!L30</f>
        <v>-1</v>
      </c>
      <c r="M39" s="1">
        <f>Dataset!M30</f>
        <v>-1</v>
      </c>
      <c r="N39" s="1">
        <f>Dataset!N30</f>
        <v>-1</v>
      </c>
      <c r="O39" s="1">
        <f>Dataset!O30</f>
        <v>-1</v>
      </c>
      <c r="P39" s="1">
        <f>Dataset!P30</f>
        <v>-1</v>
      </c>
      <c r="Q39" s="1">
        <f>Dataset!Q30</f>
        <v>-1</v>
      </c>
      <c r="R39" s="1">
        <f>Dataset!R30</f>
        <v>-1</v>
      </c>
      <c r="S39" s="1">
        <f>Dataset!S30</f>
        <v>-1</v>
      </c>
      <c r="T39" s="1">
        <f>Dataset!T30</f>
        <v>-1</v>
      </c>
      <c r="U39" s="1">
        <f>Dataset!U30</f>
        <v>-1</v>
      </c>
      <c r="V39" s="1">
        <f>Dataset!V30</f>
        <v>-1</v>
      </c>
      <c r="W39" s="1">
        <f>Dataset!W30</f>
        <v>-1</v>
      </c>
      <c r="X39" s="44">
        <f>Dataset!X30</f>
        <v>45150</v>
      </c>
    </row>
    <row r="40" spans="1:24" x14ac:dyDescent="0.35">
      <c r="A40" s="1" t="str">
        <f>Dataset!A31</f>
        <v>Neshaminy Falls</v>
      </c>
      <c r="B40" s="1">
        <f>Dataset!B31</f>
        <v>20060</v>
      </c>
      <c r="C40" s="1" t="str">
        <f>Dataset!C31</f>
        <v>Monday</v>
      </c>
      <c r="D40" s="1">
        <f>Dataset!D31</f>
        <v>0</v>
      </c>
      <c r="E40" s="1" t="str">
        <f>Dataset!E31</f>
        <v>Sunday</v>
      </c>
      <c r="F40" s="1">
        <f>Dataset!F31</f>
        <v>0.99998842592592596</v>
      </c>
      <c r="G40" s="1">
        <f>Dataset!G31</f>
        <v>45</v>
      </c>
      <c r="H40" s="1">
        <f>Dataset!H31</f>
        <v>65.900000000000006</v>
      </c>
      <c r="I40" s="1">
        <f>Dataset!I31</f>
        <v>79.400000000000006</v>
      </c>
      <c r="J40" s="1">
        <f>Dataset!J31</f>
        <v>-1</v>
      </c>
      <c r="K40" s="1">
        <f>Dataset!K31</f>
        <v>-1</v>
      </c>
      <c r="L40" s="1">
        <f>Dataset!L31</f>
        <v>-1</v>
      </c>
      <c r="M40" s="1">
        <f>Dataset!M31</f>
        <v>90.9</v>
      </c>
      <c r="N40" s="1">
        <f>Dataset!N31</f>
        <v>133.4</v>
      </c>
      <c r="O40" s="1">
        <f>Dataset!O31</f>
        <v>160.9</v>
      </c>
      <c r="P40" s="1">
        <f>Dataset!P31</f>
        <v>45</v>
      </c>
      <c r="Q40" s="1">
        <f>Dataset!Q31</f>
        <v>65.900000000000006</v>
      </c>
      <c r="R40" s="1">
        <f>Dataset!R31</f>
        <v>79.400000000000006</v>
      </c>
      <c r="S40" s="1">
        <f>Dataset!S31</f>
        <v>133.4</v>
      </c>
      <c r="T40" s="1">
        <f>Dataset!T31</f>
        <v>160.9</v>
      </c>
      <c r="U40" s="1">
        <f>Dataset!U31</f>
        <v>65.900000000000006</v>
      </c>
      <c r="V40" s="1">
        <f>Dataset!V31</f>
        <v>79.400000000000006</v>
      </c>
      <c r="W40" s="1">
        <f>Dataset!W31</f>
        <v>79.400000000000006</v>
      </c>
      <c r="X40" s="44">
        <f>Dataset!X31</f>
        <v>45157</v>
      </c>
    </row>
    <row r="41" spans="1:24" x14ac:dyDescent="0.35">
      <c r="A41" s="1" t="str">
        <f>Dataset!A32</f>
        <v>Mid-County</v>
      </c>
      <c r="B41" s="1">
        <f>Dataset!B32</f>
        <v>21000</v>
      </c>
      <c r="C41" s="1" t="str">
        <f>Dataset!C32</f>
        <v>Monday</v>
      </c>
      <c r="D41" s="1">
        <f>Dataset!D32</f>
        <v>0</v>
      </c>
      <c r="E41" s="1" t="str">
        <f>Dataset!E32</f>
        <v>Sunday</v>
      </c>
      <c r="F41" s="1">
        <f>Dataset!F32</f>
        <v>0.99998842592592596</v>
      </c>
      <c r="G41" s="1">
        <f>Dataset!G32</f>
        <v>-1</v>
      </c>
      <c r="H41" s="1">
        <f>Dataset!H32</f>
        <v>-1</v>
      </c>
      <c r="I41" s="1">
        <f>Dataset!I32</f>
        <v>-1</v>
      </c>
      <c r="J41" s="1">
        <f>Dataset!J32</f>
        <v>-1</v>
      </c>
      <c r="K41" s="1">
        <f>Dataset!K32</f>
        <v>-1</v>
      </c>
      <c r="L41" s="1">
        <f>Dataset!L32</f>
        <v>-1</v>
      </c>
      <c r="M41" s="1">
        <f>Dataset!M32</f>
        <v>-1</v>
      </c>
      <c r="N41" s="1">
        <f>Dataset!N32</f>
        <v>-1</v>
      </c>
      <c r="O41" s="1">
        <f>Dataset!O32</f>
        <v>-1</v>
      </c>
      <c r="P41" s="1">
        <f>Dataset!P32</f>
        <v>-1</v>
      </c>
      <c r="Q41" s="1">
        <f>Dataset!Q32</f>
        <v>-1</v>
      </c>
      <c r="R41" s="1">
        <f>Dataset!R32</f>
        <v>-1</v>
      </c>
      <c r="S41" s="1">
        <f>Dataset!S32</f>
        <v>-1</v>
      </c>
      <c r="T41" s="1">
        <f>Dataset!T32</f>
        <v>-1</v>
      </c>
      <c r="U41" s="1">
        <f>Dataset!U32</f>
        <v>-1</v>
      </c>
      <c r="V41" s="1">
        <f>Dataset!V32</f>
        <v>-1</v>
      </c>
      <c r="W41" s="1">
        <f>Dataset!W32</f>
        <v>-1</v>
      </c>
      <c r="X41" s="44">
        <f>Dataset!X32</f>
        <v>45143</v>
      </c>
    </row>
    <row r="42" spans="1:24" x14ac:dyDescent="0.35">
      <c r="A42" s="1" t="str">
        <f>Dataset!A33</f>
        <v>Lansdale</v>
      </c>
      <c r="B42" s="1">
        <f>Dataset!B33</f>
        <v>21002</v>
      </c>
      <c r="C42" s="1" t="str">
        <f>Dataset!C33</f>
        <v>Monday</v>
      </c>
      <c r="D42" s="1">
        <f>Dataset!D33</f>
        <v>0</v>
      </c>
      <c r="E42" s="1" t="str">
        <f>Dataset!E33</f>
        <v>Sunday</v>
      </c>
      <c r="F42" s="1">
        <f>Dataset!F33</f>
        <v>0.99998842592592596</v>
      </c>
      <c r="G42" s="1">
        <f>Dataset!G33</f>
        <v>41.5</v>
      </c>
      <c r="H42" s="1">
        <f>Dataset!H33</f>
        <v>61.4</v>
      </c>
      <c r="I42" s="1">
        <f>Dataset!I33</f>
        <v>75</v>
      </c>
      <c r="J42" s="1">
        <f>Dataset!J33</f>
        <v>-1</v>
      </c>
      <c r="K42" s="1">
        <f>Dataset!K33</f>
        <v>-1</v>
      </c>
      <c r="L42" s="1">
        <f>Dataset!L33</f>
        <v>-1</v>
      </c>
      <c r="M42" s="1">
        <f>Dataset!M33</f>
        <v>84.6</v>
      </c>
      <c r="N42" s="1">
        <f>Dataset!N33</f>
        <v>124.4</v>
      </c>
      <c r="O42" s="1">
        <f>Dataset!O33</f>
        <v>151.5</v>
      </c>
      <c r="P42" s="1">
        <f>Dataset!P33</f>
        <v>41.5</v>
      </c>
      <c r="Q42" s="1">
        <f>Dataset!Q33</f>
        <v>61.4</v>
      </c>
      <c r="R42" s="1">
        <f>Dataset!R33</f>
        <v>75</v>
      </c>
      <c r="S42" s="1">
        <f>Dataset!S33</f>
        <v>124.4</v>
      </c>
      <c r="T42" s="1">
        <f>Dataset!T33</f>
        <v>151.5</v>
      </c>
      <c r="U42" s="1">
        <f>Dataset!U33</f>
        <v>61.4</v>
      </c>
      <c r="V42" s="1">
        <f>Dataset!V33</f>
        <v>75</v>
      </c>
      <c r="W42" s="1">
        <f>Dataset!W33</f>
        <v>75</v>
      </c>
      <c r="X42" s="44">
        <f>Dataset!X33</f>
        <v>45166</v>
      </c>
    </row>
    <row r="43" spans="1:24" x14ac:dyDescent="0.35">
      <c r="A43" s="1" t="str">
        <f>Dataset!A34</f>
        <v>Quakertown</v>
      </c>
      <c r="B43" s="1">
        <f>Dataset!B34</f>
        <v>21004</v>
      </c>
      <c r="C43" s="1" t="str">
        <f>Dataset!C34</f>
        <v>Monday</v>
      </c>
      <c r="D43" s="1">
        <f>Dataset!D34</f>
        <v>0</v>
      </c>
      <c r="E43" s="1" t="str">
        <f>Dataset!E34</f>
        <v>Sunday</v>
      </c>
      <c r="F43" s="1">
        <f>Dataset!F34</f>
        <v>0.99998842592592596</v>
      </c>
      <c r="G43" s="1">
        <f>Dataset!G34</f>
        <v>43.3</v>
      </c>
      <c r="H43" s="1">
        <f>Dataset!H34</f>
        <v>63.6</v>
      </c>
      <c r="I43" s="1">
        <f>Dataset!I34</f>
        <v>79.400000000000006</v>
      </c>
      <c r="J43" s="1">
        <f>Dataset!J34</f>
        <v>-1</v>
      </c>
      <c r="K43" s="1">
        <f>Dataset!K34</f>
        <v>-1</v>
      </c>
      <c r="L43" s="1">
        <f>Dataset!L34</f>
        <v>-1</v>
      </c>
      <c r="M43" s="1">
        <f>Dataset!M34</f>
        <v>87.6</v>
      </c>
      <c r="N43" s="1">
        <f>Dataset!N34</f>
        <v>128.6</v>
      </c>
      <c r="O43" s="1">
        <f>Dataset!O34</f>
        <v>160.9</v>
      </c>
      <c r="P43" s="1">
        <f>Dataset!P34</f>
        <v>43.3</v>
      </c>
      <c r="Q43" s="1">
        <f>Dataset!Q34</f>
        <v>63.6</v>
      </c>
      <c r="R43" s="1">
        <f>Dataset!R34</f>
        <v>79.400000000000006</v>
      </c>
      <c r="S43" s="1">
        <f>Dataset!S34</f>
        <v>128.6</v>
      </c>
      <c r="T43" s="1">
        <f>Dataset!T34</f>
        <v>160.9</v>
      </c>
      <c r="U43" s="1">
        <f>Dataset!U34</f>
        <v>63.6</v>
      </c>
      <c r="V43" s="1">
        <f>Dataset!V34</f>
        <v>79.400000000000006</v>
      </c>
      <c r="W43" s="1">
        <f>Dataset!W34</f>
        <v>79.400000000000006</v>
      </c>
      <c r="X43" s="44">
        <f>Dataset!X34</f>
        <v>45162</v>
      </c>
    </row>
    <row r="44" spans="1:24" x14ac:dyDescent="0.35">
      <c r="A44" s="1" t="str">
        <f>Dataset!A35</f>
        <v>Lehigh Valley</v>
      </c>
      <c r="B44" s="1">
        <f>Dataset!B35</f>
        <v>21006</v>
      </c>
      <c r="C44" s="1" t="str">
        <f>Dataset!C35</f>
        <v>Monday</v>
      </c>
      <c r="D44" s="1">
        <f>Dataset!D35</f>
        <v>0</v>
      </c>
      <c r="E44" s="1" t="str">
        <f>Dataset!E35</f>
        <v>Sunday</v>
      </c>
      <c r="F44" s="1">
        <f>Dataset!F35</f>
        <v>0.99998842592592596</v>
      </c>
      <c r="G44" s="1">
        <f>Dataset!G35</f>
        <v>44.5</v>
      </c>
      <c r="H44" s="1">
        <f>Dataset!H35</f>
        <v>65.900000000000006</v>
      </c>
      <c r="I44" s="1">
        <f>Dataset!I35</f>
        <v>81.8</v>
      </c>
      <c r="J44" s="1">
        <f>Dataset!J35</f>
        <v>-1</v>
      </c>
      <c r="K44" s="1">
        <f>Dataset!K35</f>
        <v>-1</v>
      </c>
      <c r="L44" s="1">
        <f>Dataset!L35</f>
        <v>-1</v>
      </c>
      <c r="M44" s="1">
        <f>Dataset!M35</f>
        <v>89.9</v>
      </c>
      <c r="N44" s="1">
        <f>Dataset!N35</f>
        <v>133.4</v>
      </c>
      <c r="O44" s="1">
        <f>Dataset!O35</f>
        <v>165.3</v>
      </c>
      <c r="P44" s="1">
        <f>Dataset!P35</f>
        <v>44.5</v>
      </c>
      <c r="Q44" s="1">
        <f>Dataset!Q35</f>
        <v>65.900000000000006</v>
      </c>
      <c r="R44" s="1">
        <f>Dataset!R35</f>
        <v>81.8</v>
      </c>
      <c r="S44" s="1">
        <f>Dataset!S35</f>
        <v>133.4</v>
      </c>
      <c r="T44" s="1">
        <f>Dataset!T35</f>
        <v>165.3</v>
      </c>
      <c r="U44" s="1">
        <f>Dataset!U35</f>
        <v>65.900000000000006</v>
      </c>
      <c r="V44" s="1">
        <f>Dataset!V35</f>
        <v>81.8</v>
      </c>
      <c r="W44" s="1">
        <f>Dataset!W35</f>
        <v>81.8</v>
      </c>
      <c r="X44" s="44">
        <f>Dataset!X35</f>
        <v>45160</v>
      </c>
    </row>
    <row r="45" spans="1:24" x14ac:dyDescent="0.35">
      <c r="A45" s="1" t="str">
        <f>Dataset!A36</f>
        <v>Mahoning Valley</v>
      </c>
      <c r="B45" s="1">
        <f>Dataset!B36</f>
        <v>21008</v>
      </c>
      <c r="C45" s="1" t="str">
        <f>Dataset!C36</f>
        <v>Monday</v>
      </c>
      <c r="D45" s="1">
        <f>Dataset!D36</f>
        <v>0</v>
      </c>
      <c r="E45" s="1" t="str">
        <f>Dataset!E36</f>
        <v>Sunday</v>
      </c>
      <c r="F45" s="1">
        <f>Dataset!F36</f>
        <v>0.99998842592592596</v>
      </c>
      <c r="G45" s="1">
        <f>Dataset!G36</f>
        <v>47.3</v>
      </c>
      <c r="H45" s="1">
        <f>Dataset!H36</f>
        <v>70.400000000000006</v>
      </c>
      <c r="I45" s="1">
        <f>Dataset!I36</f>
        <v>86.4</v>
      </c>
      <c r="J45" s="1">
        <f>Dataset!J36</f>
        <v>-1</v>
      </c>
      <c r="K45" s="1">
        <f>Dataset!K36</f>
        <v>-1</v>
      </c>
      <c r="L45" s="1">
        <f>Dataset!L36</f>
        <v>-1</v>
      </c>
      <c r="M45" s="1">
        <f>Dataset!M36</f>
        <v>95.6</v>
      </c>
      <c r="N45" s="1">
        <f>Dataset!N36</f>
        <v>142.5</v>
      </c>
      <c r="O45" s="1">
        <f>Dataset!O36</f>
        <v>174.2</v>
      </c>
      <c r="P45" s="1">
        <f>Dataset!P36</f>
        <v>47.3</v>
      </c>
      <c r="Q45" s="1">
        <f>Dataset!Q36</f>
        <v>70.400000000000006</v>
      </c>
      <c r="R45" s="1">
        <f>Dataset!R36</f>
        <v>86.4</v>
      </c>
      <c r="S45" s="1">
        <f>Dataset!S36</f>
        <v>142.5</v>
      </c>
      <c r="T45" s="1">
        <f>Dataset!T36</f>
        <v>174.2</v>
      </c>
      <c r="U45" s="1">
        <f>Dataset!U36</f>
        <v>70.400000000000006</v>
      </c>
      <c r="V45" s="1">
        <f>Dataset!V36</f>
        <v>86.4</v>
      </c>
      <c r="W45" s="1">
        <f>Dataset!W36</f>
        <v>86.4</v>
      </c>
      <c r="X45" s="44">
        <f>Dataset!X36</f>
        <v>45179</v>
      </c>
    </row>
    <row r="46" spans="1:24" x14ac:dyDescent="0.35">
      <c r="A46" s="1" t="str">
        <f>Dataset!A37</f>
        <v>S.R. 903</v>
      </c>
      <c r="B46" s="1">
        <f>Dataset!B37</f>
        <v>21010</v>
      </c>
      <c r="C46" s="1" t="str">
        <f>Dataset!C37</f>
        <v>Monday</v>
      </c>
      <c r="D46" s="1">
        <f>Dataset!D37</f>
        <v>0</v>
      </c>
      <c r="E46" s="1" t="str">
        <f>Dataset!E37</f>
        <v>Sunday</v>
      </c>
      <c r="F46" s="1">
        <f>Dataset!F37</f>
        <v>0.99998842592592596</v>
      </c>
      <c r="G46" s="1">
        <f>Dataset!G37</f>
        <v>48.3</v>
      </c>
      <c r="H46" s="1">
        <f>Dataset!H37</f>
        <v>72</v>
      </c>
      <c r="I46" s="1">
        <f>Dataset!I37</f>
        <v>89</v>
      </c>
      <c r="J46" s="1">
        <f>Dataset!J37</f>
        <v>-1</v>
      </c>
      <c r="K46" s="1">
        <f>Dataset!K37</f>
        <v>-1</v>
      </c>
      <c r="L46" s="1">
        <f>Dataset!L37</f>
        <v>-1</v>
      </c>
      <c r="M46" s="1">
        <f>Dataset!M37</f>
        <v>97.9</v>
      </c>
      <c r="N46" s="1">
        <f>Dataset!N37</f>
        <v>145.5</v>
      </c>
      <c r="O46" s="1">
        <f>Dataset!O37</f>
        <v>179.8</v>
      </c>
      <c r="P46" s="1">
        <f>Dataset!P37</f>
        <v>48.3</v>
      </c>
      <c r="Q46" s="1">
        <f>Dataset!Q37</f>
        <v>72</v>
      </c>
      <c r="R46" s="1">
        <f>Dataset!R37</f>
        <v>89</v>
      </c>
      <c r="S46" s="1">
        <f>Dataset!S37</f>
        <v>145.5</v>
      </c>
      <c r="T46" s="1">
        <f>Dataset!T37</f>
        <v>179.8</v>
      </c>
      <c r="U46" s="1">
        <f>Dataset!U37</f>
        <v>72</v>
      </c>
      <c r="V46" s="1">
        <f>Dataset!V37</f>
        <v>89</v>
      </c>
      <c r="W46" s="1">
        <f>Dataset!W37</f>
        <v>89</v>
      </c>
      <c r="X46" s="44">
        <f>Dataset!X37</f>
        <v>45157</v>
      </c>
    </row>
    <row r="47" spans="1:24" x14ac:dyDescent="0.35">
      <c r="A47" s="1" t="str">
        <f>Dataset!A38</f>
        <v>Pocono</v>
      </c>
      <c r="B47" s="1">
        <f>Dataset!B38</f>
        <v>21012</v>
      </c>
      <c r="C47" s="1" t="str">
        <f>Dataset!C38</f>
        <v>Monday</v>
      </c>
      <c r="D47" s="1">
        <f>Dataset!D38</f>
        <v>0</v>
      </c>
      <c r="E47" s="1" t="str">
        <f>Dataset!E38</f>
        <v>Sunday</v>
      </c>
      <c r="F47" s="1">
        <f>Dataset!F38</f>
        <v>0.99998842592592596</v>
      </c>
      <c r="G47" s="1">
        <f>Dataset!G38</f>
        <v>49.1</v>
      </c>
      <c r="H47" s="1">
        <f>Dataset!H38</f>
        <v>72.8</v>
      </c>
      <c r="I47" s="1">
        <f>Dataset!I38</f>
        <v>90.9</v>
      </c>
      <c r="J47" s="1">
        <f>Dataset!J38</f>
        <v>-1</v>
      </c>
      <c r="K47" s="1">
        <f>Dataset!K38</f>
        <v>-1</v>
      </c>
      <c r="L47" s="1">
        <f>Dataset!L38</f>
        <v>-1</v>
      </c>
      <c r="M47" s="1">
        <f>Dataset!M38</f>
        <v>99.5</v>
      </c>
      <c r="N47" s="1">
        <f>Dataset!N38</f>
        <v>146.80000000000001</v>
      </c>
      <c r="O47" s="1">
        <f>Dataset!O38</f>
        <v>183.5</v>
      </c>
      <c r="P47" s="1">
        <f>Dataset!P38</f>
        <v>49.1</v>
      </c>
      <c r="Q47" s="1">
        <f>Dataset!Q38</f>
        <v>72.8</v>
      </c>
      <c r="R47" s="1">
        <f>Dataset!R38</f>
        <v>90.9</v>
      </c>
      <c r="S47" s="1">
        <f>Dataset!S38</f>
        <v>146.80000000000001</v>
      </c>
      <c r="T47" s="1">
        <f>Dataset!T38</f>
        <v>183.5</v>
      </c>
      <c r="U47" s="1">
        <f>Dataset!U38</f>
        <v>72.8</v>
      </c>
      <c r="V47" s="1">
        <f>Dataset!V38</f>
        <v>90.9</v>
      </c>
      <c r="W47" s="1">
        <f>Dataset!W38</f>
        <v>90.9</v>
      </c>
      <c r="X47" s="44">
        <f>Dataset!X38</f>
        <v>45143</v>
      </c>
    </row>
    <row r="48" spans="1:24" x14ac:dyDescent="0.35">
      <c r="A48" s="1" t="str">
        <f>Dataset!A39</f>
        <v>Wilkes-Barre</v>
      </c>
      <c r="B48" s="1">
        <f>Dataset!B39</f>
        <v>21014</v>
      </c>
      <c r="C48" s="1" t="str">
        <f>Dataset!C39</f>
        <v>Monday</v>
      </c>
      <c r="D48" s="1">
        <f>Dataset!D39</f>
        <v>0</v>
      </c>
      <c r="E48" s="1" t="str">
        <f>Dataset!E39</f>
        <v>Sunday</v>
      </c>
      <c r="F48" s="1">
        <f>Dataset!F39</f>
        <v>0.99998842592592596</v>
      </c>
      <c r="G48" s="1">
        <f>Dataset!G39</f>
        <v>50.6</v>
      </c>
      <c r="H48" s="1">
        <f>Dataset!H39</f>
        <v>75</v>
      </c>
      <c r="I48" s="1">
        <f>Dataset!I39</f>
        <v>93.1</v>
      </c>
      <c r="J48" s="1">
        <f>Dataset!J39</f>
        <v>-1</v>
      </c>
      <c r="K48" s="1">
        <f>Dataset!K39</f>
        <v>-1</v>
      </c>
      <c r="L48" s="1">
        <f>Dataset!L39</f>
        <v>-1</v>
      </c>
      <c r="M48" s="1">
        <f>Dataset!M39</f>
        <v>102.6</v>
      </c>
      <c r="N48" s="1">
        <f>Dataset!N39</f>
        <v>151.5</v>
      </c>
      <c r="O48" s="1">
        <f>Dataset!O39</f>
        <v>188.1</v>
      </c>
      <c r="P48" s="1">
        <f>Dataset!P39</f>
        <v>50.6</v>
      </c>
      <c r="Q48" s="1">
        <f>Dataset!Q39</f>
        <v>75</v>
      </c>
      <c r="R48" s="1">
        <f>Dataset!R39</f>
        <v>93.1</v>
      </c>
      <c r="S48" s="1">
        <f>Dataset!S39</f>
        <v>151.5</v>
      </c>
      <c r="T48" s="1">
        <f>Dataset!T39</f>
        <v>188.1</v>
      </c>
      <c r="U48" s="1">
        <f>Dataset!U39</f>
        <v>75</v>
      </c>
      <c r="V48" s="1">
        <f>Dataset!V39</f>
        <v>93.1</v>
      </c>
      <c r="W48" s="1">
        <f>Dataset!W39</f>
        <v>93.1</v>
      </c>
      <c r="X48" s="44">
        <f>Dataset!X39</f>
        <v>45166</v>
      </c>
    </row>
    <row r="49" spans="1:24" x14ac:dyDescent="0.35">
      <c r="A49" s="1" t="str">
        <f>Dataset!A40</f>
        <v>Wyoming Valley</v>
      </c>
      <c r="B49" s="1">
        <f>Dataset!B40</f>
        <v>21016</v>
      </c>
      <c r="C49" s="1" t="str">
        <f>Dataset!C40</f>
        <v>Monday</v>
      </c>
      <c r="D49" s="1">
        <f>Dataset!D40</f>
        <v>0</v>
      </c>
      <c r="E49" s="1" t="str">
        <f>Dataset!E40</f>
        <v>Sunday</v>
      </c>
      <c r="F49" s="1">
        <f>Dataset!F40</f>
        <v>0.99998842592592596</v>
      </c>
      <c r="G49" s="1">
        <f>Dataset!G40</f>
        <v>51.8</v>
      </c>
      <c r="H49" s="1">
        <f>Dataset!H40</f>
        <v>77.2</v>
      </c>
      <c r="I49" s="1">
        <f>Dataset!I40</f>
        <v>93.1</v>
      </c>
      <c r="J49" s="1">
        <f>Dataset!J40</f>
        <v>-1</v>
      </c>
      <c r="K49" s="1">
        <f>Dataset!K40</f>
        <v>-1</v>
      </c>
      <c r="L49" s="1">
        <f>Dataset!L40</f>
        <v>-1</v>
      </c>
      <c r="M49" s="1">
        <f>Dataset!M40</f>
        <v>104.5</v>
      </c>
      <c r="N49" s="1">
        <f>Dataset!N40</f>
        <v>156.4</v>
      </c>
      <c r="O49" s="1">
        <f>Dataset!O40</f>
        <v>188.1</v>
      </c>
      <c r="P49" s="1">
        <f>Dataset!P40</f>
        <v>51.8</v>
      </c>
      <c r="Q49" s="1">
        <f>Dataset!Q40</f>
        <v>77.2</v>
      </c>
      <c r="R49" s="1">
        <f>Dataset!R40</f>
        <v>93.1</v>
      </c>
      <c r="S49" s="1">
        <f>Dataset!S40</f>
        <v>156.4</v>
      </c>
      <c r="T49" s="1">
        <f>Dataset!T40</f>
        <v>188.1</v>
      </c>
      <c r="U49" s="1">
        <f>Dataset!U40</f>
        <v>77.2</v>
      </c>
      <c r="V49" s="1">
        <f>Dataset!V40</f>
        <v>93.1</v>
      </c>
      <c r="W49" s="1">
        <f>Dataset!W40</f>
        <v>93.1</v>
      </c>
      <c r="X49" s="44">
        <f>Dataset!X40</f>
        <v>45162</v>
      </c>
    </row>
    <row r="50" spans="1:24" x14ac:dyDescent="0.35">
      <c r="X50" s="44"/>
    </row>
    <row r="51" spans="1:24" x14ac:dyDescent="0.35">
      <c r="X51" s="44"/>
    </row>
  </sheetData>
  <conditionalFormatting sqref="A10">
    <cfRule type="duplicateValues" dxfId="23" priority="7"/>
  </conditionalFormatting>
  <conditionalFormatting sqref="B10">
    <cfRule type="duplicateValues" dxfId="22" priority="6"/>
  </conditionalFormatting>
  <conditionalFormatting sqref="J10:L10">
    <cfRule type="colorScale" priority="5">
      <colorScale>
        <cfvo type="num" val="-1"/>
        <cfvo type="num" val="0"/>
        <color rgb="FFFF0000"/>
        <color theme="9"/>
      </colorScale>
    </cfRule>
  </conditionalFormatting>
  <conditionalFormatting sqref="D11:W49">
    <cfRule type="cellIs" dxfId="21" priority="1" operator="equal">
      <formula>-1</formula>
    </cfRule>
    <cfRule type="cellIs" dxfId="20" priority="2"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6" sqref="B6"/>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5">
      <c r="A1" s="42" t="s">
        <v>55</v>
      </c>
      <c r="B1" s="41" t="s">
        <v>164</v>
      </c>
    </row>
    <row r="2" spans="1:7" s="41" customFormat="1" ht="21" x14ac:dyDescent="0.5">
      <c r="B2" s="41" t="s">
        <v>161</v>
      </c>
    </row>
    <row r="3" spans="1:7" ht="14.5" x14ac:dyDescent="0.35">
      <c r="A3" s="1"/>
      <c r="B3" s="1"/>
      <c r="C3" s="1"/>
      <c r="D3" s="1"/>
      <c r="E3" s="1"/>
      <c r="F3" s="1"/>
      <c r="G3" s="1"/>
    </row>
    <row r="4" spans="1:7" ht="23.5" x14ac:dyDescent="0.55000000000000004">
      <c r="A4" s="18" t="s">
        <v>162</v>
      </c>
      <c r="B4" s="1"/>
      <c r="C4" s="1"/>
      <c r="D4" s="1"/>
      <c r="E4" s="1"/>
      <c r="F4" s="1"/>
      <c r="G4" s="1"/>
    </row>
    <row r="5" spans="1:7" ht="14.5" x14ac:dyDescent="0.35">
      <c r="A5" s="20" t="s">
        <v>64</v>
      </c>
      <c r="B5" s="21" t="s">
        <v>79</v>
      </c>
      <c r="C5" s="22" t="s">
        <v>71</v>
      </c>
      <c r="D5" s="21" t="s">
        <v>75</v>
      </c>
      <c r="E5" s="22" t="s">
        <v>76</v>
      </c>
      <c r="F5" s="23" t="s">
        <v>77</v>
      </c>
    </row>
    <row r="6" spans="1:7" ht="14.5" x14ac:dyDescent="0.35">
      <c r="A6" s="7" t="s">
        <v>40</v>
      </c>
      <c r="B6" s="12">
        <f>IF(A6=Dataset!A2,Dataset!CAR1)</f>
        <v>0</v>
      </c>
      <c r="C6" s="12"/>
      <c r="D6" s="12"/>
      <c r="E6" s="12"/>
      <c r="F6" s="8"/>
    </row>
    <row r="7" spans="1:7" ht="14.5" x14ac:dyDescent="0.35">
      <c r="A7" s="7" t="s">
        <v>4</v>
      </c>
      <c r="B7" s="12"/>
      <c r="C7" s="12"/>
      <c r="D7" s="12"/>
      <c r="E7" s="12"/>
      <c r="F7" s="8"/>
    </row>
    <row r="8" spans="1:7" ht="14.5" x14ac:dyDescent="0.35">
      <c r="A8" s="7" t="s">
        <v>7</v>
      </c>
      <c r="B8" s="12"/>
      <c r="C8" s="12"/>
      <c r="D8" s="12"/>
      <c r="E8" s="12"/>
      <c r="F8" s="8"/>
    </row>
    <row r="9" spans="1:7" ht="14.5" x14ac:dyDescent="0.35">
      <c r="A9" s="7" t="s">
        <v>8</v>
      </c>
      <c r="B9" s="12"/>
      <c r="C9" s="12"/>
      <c r="D9" s="12"/>
      <c r="E9" s="12"/>
      <c r="F9" s="8"/>
    </row>
    <row r="10" spans="1:7" ht="14.5" x14ac:dyDescent="0.35">
      <c r="A10" s="7" t="s">
        <v>11</v>
      </c>
      <c r="B10" s="12"/>
      <c r="C10" s="12"/>
      <c r="D10" s="12"/>
      <c r="E10" s="12"/>
      <c r="F10" s="8"/>
    </row>
    <row r="11" spans="1:7" ht="14.5" x14ac:dyDescent="0.35">
      <c r="A11" s="7" t="s">
        <v>12</v>
      </c>
      <c r="B11" s="12"/>
      <c r="C11" s="12"/>
      <c r="D11" s="12"/>
      <c r="E11" s="12"/>
      <c r="F11" s="8"/>
    </row>
    <row r="12" spans="1:7" ht="14.5" x14ac:dyDescent="0.35">
      <c r="A12" s="7" t="s">
        <v>14</v>
      </c>
      <c r="B12" s="12"/>
      <c r="C12" s="12"/>
      <c r="D12" s="12"/>
      <c r="E12" s="12"/>
      <c r="F12" s="8"/>
    </row>
    <row r="13" spans="1:7" ht="14.5" x14ac:dyDescent="0.35">
      <c r="A13" s="7" t="s">
        <v>15</v>
      </c>
      <c r="B13" s="12"/>
      <c r="C13" s="12"/>
      <c r="D13" s="12"/>
      <c r="E13" s="12"/>
      <c r="F13" s="8"/>
    </row>
    <row r="14" spans="1:7" ht="14.5" x14ac:dyDescent="0.35">
      <c r="A14" s="7" t="s">
        <v>16</v>
      </c>
      <c r="B14" s="12"/>
      <c r="C14" s="12"/>
      <c r="D14" s="12"/>
      <c r="E14" s="12"/>
      <c r="F14" s="8"/>
    </row>
    <row r="15" spans="1:7" ht="14.5" x14ac:dyDescent="0.35">
      <c r="A15" s="7" t="s">
        <v>18</v>
      </c>
      <c r="B15" s="12"/>
      <c r="C15" s="12"/>
      <c r="D15" s="12"/>
      <c r="E15" s="12"/>
      <c r="F15" s="8"/>
    </row>
    <row r="16" spans="1:7" ht="14.5" x14ac:dyDescent="0.35">
      <c r="A16" s="7" t="s">
        <v>20</v>
      </c>
      <c r="B16" s="12"/>
      <c r="C16" s="12"/>
      <c r="D16" s="12"/>
      <c r="E16" s="12"/>
      <c r="F16" s="8"/>
    </row>
    <row r="17" spans="1:6" ht="14.5" x14ac:dyDescent="0.35">
      <c r="A17" s="7" t="s">
        <v>22</v>
      </c>
      <c r="B17" s="12"/>
      <c r="C17" s="12"/>
      <c r="D17" s="12"/>
      <c r="E17" s="12"/>
      <c r="F17" s="8"/>
    </row>
    <row r="18" spans="1:6" ht="14.5" x14ac:dyDescent="0.35">
      <c r="A18" s="7" t="s">
        <v>23</v>
      </c>
      <c r="B18" s="12"/>
      <c r="C18" s="12"/>
      <c r="D18" s="12"/>
      <c r="E18" s="12"/>
      <c r="F18" s="8"/>
    </row>
    <row r="19" spans="1:6" ht="14.5" x14ac:dyDescent="0.35">
      <c r="A19" s="7" t="s">
        <v>24</v>
      </c>
      <c r="B19" s="12"/>
      <c r="C19" s="12"/>
      <c r="D19" s="12"/>
      <c r="E19" s="12"/>
      <c r="F19" s="8"/>
    </row>
    <row r="20" spans="1:6" ht="14.5" x14ac:dyDescent="0.35">
      <c r="A20" s="7" t="s">
        <v>28</v>
      </c>
      <c r="B20" s="12"/>
      <c r="C20" s="12"/>
      <c r="D20" s="12"/>
      <c r="E20" s="12"/>
      <c r="F20" s="8"/>
    </row>
    <row r="21" spans="1:6" ht="14.5" x14ac:dyDescent="0.35">
      <c r="A21" s="7" t="s">
        <v>57</v>
      </c>
      <c r="B21" s="12"/>
      <c r="C21" s="12"/>
      <c r="D21" s="12"/>
      <c r="E21" s="12"/>
      <c r="F21" s="8"/>
    </row>
    <row r="22" spans="1:6" ht="14.5" x14ac:dyDescent="0.35">
      <c r="A22" s="7" t="s">
        <v>58</v>
      </c>
      <c r="B22" s="12"/>
      <c r="C22" s="12"/>
      <c r="D22" s="12"/>
      <c r="E22" s="12"/>
      <c r="F22" s="8"/>
    </row>
    <row r="23" spans="1:6" ht="14.5" x14ac:dyDescent="0.35">
      <c r="A23" s="7" t="s">
        <v>31</v>
      </c>
      <c r="B23" s="12"/>
      <c r="C23" s="12"/>
      <c r="D23" s="12"/>
      <c r="E23" s="12"/>
      <c r="F23" s="8"/>
    </row>
    <row r="24" spans="1:6" ht="14.5" x14ac:dyDescent="0.35">
      <c r="A24" s="7" t="s">
        <v>32</v>
      </c>
      <c r="B24" s="12"/>
      <c r="C24" s="12"/>
      <c r="D24" s="12"/>
      <c r="E24" s="12"/>
      <c r="F24" s="8"/>
    </row>
    <row r="25" spans="1:6" ht="14.5" x14ac:dyDescent="0.35">
      <c r="A25" s="7" t="s">
        <v>34</v>
      </c>
      <c r="B25" s="12"/>
      <c r="C25" s="12"/>
      <c r="D25" s="12"/>
      <c r="E25" s="12"/>
      <c r="F25" s="8"/>
    </row>
    <row r="26" spans="1:6" ht="14.5" x14ac:dyDescent="0.35">
      <c r="A26" s="7" t="s">
        <v>37</v>
      </c>
      <c r="B26" s="12"/>
      <c r="C26" s="12"/>
      <c r="D26" s="12"/>
      <c r="E26" s="12"/>
      <c r="F26" s="8"/>
    </row>
    <row r="27" spans="1:6" ht="14.5" x14ac:dyDescent="0.35">
      <c r="A27" s="7" t="s">
        <v>39</v>
      </c>
      <c r="B27" s="12"/>
      <c r="C27" s="12"/>
      <c r="D27" s="12"/>
      <c r="E27" s="12"/>
      <c r="F27" s="8"/>
    </row>
    <row r="28" spans="1:6" ht="14.5" x14ac:dyDescent="0.35">
      <c r="A28" s="19" t="s">
        <v>82</v>
      </c>
      <c r="B28" s="32"/>
      <c r="C28" s="32"/>
      <c r="D28" s="32"/>
      <c r="E28" s="32"/>
      <c r="F28" s="32"/>
    </row>
    <row r="29" spans="1:6" ht="14.5" x14ac:dyDescent="0.35">
      <c r="A29" s="19" t="s">
        <v>83</v>
      </c>
      <c r="B29" s="32"/>
      <c r="C29" s="32"/>
      <c r="D29" s="32"/>
      <c r="E29" s="32"/>
      <c r="F29" s="32"/>
    </row>
    <row r="30" spans="1:6" ht="14.5" x14ac:dyDescent="0.35">
      <c r="A30" s="19" t="s">
        <v>84</v>
      </c>
      <c r="B30" s="32"/>
      <c r="C30" s="32"/>
      <c r="D30" s="32"/>
      <c r="E30" s="32"/>
      <c r="F30" s="3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 zoomScaleNormal="100" workbookViewId="0">
      <selection activeCell="B6" sqref="B6"/>
    </sheetView>
  </sheetViews>
  <sheetFormatPr defaultColWidth="11" defaultRowHeight="14.5" x14ac:dyDescent="0.35"/>
  <cols>
    <col min="1" max="1" width="39.796875" style="1" bestFit="1" customWidth="1"/>
    <col min="2" max="16384" width="11" style="1"/>
  </cols>
  <sheetData>
    <row r="1" spans="1:10" s="41" customFormat="1" ht="21" x14ac:dyDescent="0.5">
      <c r="A1" s="42" t="s">
        <v>56</v>
      </c>
      <c r="B1" s="41" t="s">
        <v>174</v>
      </c>
    </row>
    <row r="2" spans="1:10" customFormat="1" ht="13" x14ac:dyDescent="0.3"/>
    <row r="3" spans="1:10" s="2" customFormat="1" x14ac:dyDescent="0.35">
      <c r="B3" s="1"/>
    </row>
    <row r="4" spans="1:10" s="2" customFormat="1" x14ac:dyDescent="0.35">
      <c r="B4" s="1" t="s">
        <v>151</v>
      </c>
    </row>
    <row r="5" spans="1:10" ht="18.5" x14ac:dyDescent="0.45">
      <c r="A5" s="43" t="s">
        <v>53</v>
      </c>
      <c r="B5" s="40"/>
    </row>
    <row r="6" spans="1:10" ht="18.5" x14ac:dyDescent="0.45">
      <c r="A6" s="43" t="s">
        <v>153</v>
      </c>
      <c r="B6" s="40" t="s">
        <v>178</v>
      </c>
    </row>
    <row r="7" spans="1:10" ht="18.5" x14ac:dyDescent="0.45">
      <c r="A7" s="43"/>
      <c r="B7" s="40"/>
    </row>
    <row r="8" spans="1:10" x14ac:dyDescent="0.35">
      <c r="B8" s="1" t="s">
        <v>177</v>
      </c>
    </row>
    <row r="9" spans="1:10" ht="23.5" x14ac:dyDescent="0.55000000000000004">
      <c r="A9" s="18" t="s">
        <v>165</v>
      </c>
      <c r="I9" s="2"/>
      <c r="J9" s="2"/>
    </row>
    <row r="10" spans="1:10" x14ac:dyDescent="0.35">
      <c r="A10" s="34" t="s">
        <v>102</v>
      </c>
      <c r="B10" s="17" t="s">
        <v>49</v>
      </c>
      <c r="C10" s="17" t="s">
        <v>50</v>
      </c>
      <c r="D10" s="17" t="s">
        <v>51</v>
      </c>
      <c r="E10" s="17" t="s">
        <v>52</v>
      </c>
      <c r="F10" s="17" t="s">
        <v>54</v>
      </c>
      <c r="I10" s="2"/>
      <c r="J10" s="2"/>
    </row>
    <row r="11" spans="1:10" x14ac:dyDescent="0.35">
      <c r="A11" s="9" t="s">
        <v>121</v>
      </c>
      <c r="B11" s="13">
        <v>20000</v>
      </c>
      <c r="C11" s="13" t="s">
        <v>5</v>
      </c>
      <c r="D11" s="13">
        <v>0</v>
      </c>
      <c r="E11" s="11" t="s">
        <v>6</v>
      </c>
      <c r="F11" s="11">
        <v>24</v>
      </c>
      <c r="I11" s="2"/>
      <c r="J11" s="2"/>
    </row>
    <row r="14" spans="1:10" ht="23.5" x14ac:dyDescent="0.55000000000000004">
      <c r="A14" s="18" t="s">
        <v>162</v>
      </c>
    </row>
    <row r="15" spans="1:10" x14ac:dyDescent="0.35">
      <c r="A15" s="14" t="s">
        <v>103</v>
      </c>
      <c r="B15" s="17" t="s">
        <v>49</v>
      </c>
      <c r="C15" s="15" t="s">
        <v>50</v>
      </c>
      <c r="D15" s="17" t="s">
        <v>51</v>
      </c>
      <c r="E15" s="15" t="s">
        <v>52</v>
      </c>
      <c r="F15" s="17" t="s">
        <v>54</v>
      </c>
    </row>
    <row r="16" spans="1:10" x14ac:dyDescent="0.35">
      <c r="A16" s="7" t="s">
        <v>121</v>
      </c>
      <c r="B16" s="12">
        <v>20000</v>
      </c>
      <c r="C16" s="1" t="s">
        <v>5</v>
      </c>
      <c r="D16" s="12">
        <v>0</v>
      </c>
      <c r="E16" s="1" t="s">
        <v>6</v>
      </c>
      <c r="F16" s="12">
        <v>24</v>
      </c>
    </row>
    <row r="17" spans="1:6" x14ac:dyDescent="0.35">
      <c r="A17" s="7" t="s">
        <v>122</v>
      </c>
      <c r="B17" s="12">
        <v>20002</v>
      </c>
      <c r="C17" s="1" t="s">
        <v>5</v>
      </c>
      <c r="D17" s="12">
        <v>0</v>
      </c>
      <c r="E17" s="1" t="s">
        <v>6</v>
      </c>
      <c r="F17" s="12">
        <v>24</v>
      </c>
    </row>
    <row r="18" spans="1:6" x14ac:dyDescent="0.35">
      <c r="A18" s="7" t="s">
        <v>123</v>
      </c>
      <c r="B18" s="12">
        <v>20004</v>
      </c>
      <c r="C18" s="1" t="s">
        <v>5</v>
      </c>
      <c r="D18" s="12">
        <v>0</v>
      </c>
      <c r="E18" s="1" t="s">
        <v>6</v>
      </c>
      <c r="F18" s="12">
        <v>24</v>
      </c>
    </row>
    <row r="19" spans="1:6" x14ac:dyDescent="0.35">
      <c r="A19" s="7" t="s">
        <v>124</v>
      </c>
      <c r="B19" s="12">
        <v>20006</v>
      </c>
      <c r="C19" s="1" t="s">
        <v>5</v>
      </c>
      <c r="D19" s="12">
        <v>0</v>
      </c>
      <c r="E19" s="1" t="s">
        <v>6</v>
      </c>
      <c r="F19" s="12">
        <v>24</v>
      </c>
    </row>
    <row r="20" spans="1:6" x14ac:dyDescent="0.35">
      <c r="A20" s="7" t="s">
        <v>125</v>
      </c>
      <c r="B20" s="12">
        <v>20008</v>
      </c>
      <c r="C20" s="1" t="s">
        <v>5</v>
      </c>
      <c r="D20" s="12">
        <v>0</v>
      </c>
      <c r="E20" s="1" t="s">
        <v>6</v>
      </c>
      <c r="F20" s="12">
        <v>24</v>
      </c>
    </row>
    <row r="21" spans="1:6" x14ac:dyDescent="0.35">
      <c r="A21" s="7" t="s">
        <v>126</v>
      </c>
      <c r="B21" s="12">
        <v>20010</v>
      </c>
      <c r="C21" s="1" t="s">
        <v>5</v>
      </c>
      <c r="D21" s="12">
        <v>0</v>
      </c>
      <c r="E21" s="1" t="s">
        <v>6</v>
      </c>
      <c r="F21" s="12">
        <v>24</v>
      </c>
    </row>
    <row r="22" spans="1:6" x14ac:dyDescent="0.35">
      <c r="A22" s="7" t="s">
        <v>127</v>
      </c>
      <c r="B22" s="12">
        <v>20012</v>
      </c>
      <c r="C22" s="1" t="s">
        <v>5</v>
      </c>
      <c r="D22" s="12">
        <v>0</v>
      </c>
      <c r="E22" s="1" t="s">
        <v>6</v>
      </c>
      <c r="F22" s="12">
        <v>24</v>
      </c>
    </row>
    <row r="23" spans="1:6" x14ac:dyDescent="0.35">
      <c r="A23" s="7" t="s">
        <v>128</v>
      </c>
      <c r="B23" s="12">
        <v>20014</v>
      </c>
      <c r="C23" s="1" t="s">
        <v>5</v>
      </c>
      <c r="D23" s="12">
        <v>0</v>
      </c>
      <c r="E23" s="1" t="s">
        <v>6</v>
      </c>
      <c r="F23" s="12">
        <v>24</v>
      </c>
    </row>
    <row r="24" spans="1:6" x14ac:dyDescent="0.35">
      <c r="A24" s="7" t="s">
        <v>129</v>
      </c>
      <c r="B24" s="12">
        <v>20016</v>
      </c>
      <c r="C24" s="1" t="s">
        <v>5</v>
      </c>
      <c r="D24" s="12">
        <v>0</v>
      </c>
      <c r="E24" s="1" t="s">
        <v>6</v>
      </c>
      <c r="F24" s="12">
        <v>24</v>
      </c>
    </row>
    <row r="25" spans="1:6" x14ac:dyDescent="0.35">
      <c r="A25" s="7" t="s">
        <v>130</v>
      </c>
      <c r="B25" s="12">
        <v>20018</v>
      </c>
      <c r="C25" s="1" t="s">
        <v>5</v>
      </c>
      <c r="D25" s="12">
        <v>0</v>
      </c>
      <c r="E25" s="1" t="s">
        <v>6</v>
      </c>
      <c r="F25" s="12">
        <v>24</v>
      </c>
    </row>
    <row r="26" spans="1:6" x14ac:dyDescent="0.35">
      <c r="A26" s="7" t="s">
        <v>131</v>
      </c>
      <c r="B26" s="12">
        <v>20020</v>
      </c>
      <c r="C26" s="1" t="s">
        <v>5</v>
      </c>
      <c r="D26" s="12">
        <v>0</v>
      </c>
      <c r="E26" s="1" t="s">
        <v>6</v>
      </c>
      <c r="F26" s="12">
        <v>24</v>
      </c>
    </row>
    <row r="27" spans="1:6" x14ac:dyDescent="0.35">
      <c r="A27" s="7" t="s">
        <v>132</v>
      </c>
      <c r="B27" s="12">
        <v>20022</v>
      </c>
      <c r="C27" s="1" t="s">
        <v>5</v>
      </c>
      <c r="D27" s="12">
        <v>0</v>
      </c>
      <c r="E27" s="1" t="s">
        <v>6</v>
      </c>
      <c r="F27" s="12">
        <v>24</v>
      </c>
    </row>
    <row r="28" spans="1:6" x14ac:dyDescent="0.35">
      <c r="A28" s="7" t="s">
        <v>133</v>
      </c>
      <c r="B28" s="12">
        <v>20024</v>
      </c>
      <c r="C28" s="1" t="s">
        <v>5</v>
      </c>
      <c r="D28" s="12">
        <v>0</v>
      </c>
      <c r="E28" s="1" t="s">
        <v>6</v>
      </c>
      <c r="F28" s="12">
        <v>24</v>
      </c>
    </row>
    <row r="29" spans="1:6" x14ac:dyDescent="0.35">
      <c r="A29" s="7" t="s">
        <v>134</v>
      </c>
      <c r="B29" s="12">
        <v>20026</v>
      </c>
      <c r="C29" s="1" t="s">
        <v>5</v>
      </c>
      <c r="D29" s="12">
        <v>0</v>
      </c>
      <c r="E29" s="1" t="s">
        <v>6</v>
      </c>
      <c r="F29" s="12">
        <v>24</v>
      </c>
    </row>
    <row r="30" spans="1:6" x14ac:dyDescent="0.35">
      <c r="A30" s="7" t="s">
        <v>135</v>
      </c>
      <c r="B30" s="12">
        <v>20028</v>
      </c>
      <c r="C30" s="1" t="s">
        <v>5</v>
      </c>
      <c r="D30" s="12">
        <v>0</v>
      </c>
      <c r="E30" s="1" t="s">
        <v>6</v>
      </c>
      <c r="F30" s="12">
        <v>24</v>
      </c>
    </row>
    <row r="31" spans="1:6" x14ac:dyDescent="0.35">
      <c r="A31" s="7" t="s">
        <v>136</v>
      </c>
      <c r="B31" s="12">
        <v>20030</v>
      </c>
      <c r="C31" s="1" t="s">
        <v>5</v>
      </c>
      <c r="D31" s="12">
        <v>0</v>
      </c>
      <c r="E31" s="1" t="s">
        <v>6</v>
      </c>
      <c r="F31" s="12">
        <v>24</v>
      </c>
    </row>
    <row r="32" spans="1:6" x14ac:dyDescent="0.35">
      <c r="A32" s="7" t="s">
        <v>137</v>
      </c>
      <c r="B32" s="12">
        <v>20032</v>
      </c>
      <c r="C32" s="1" t="s">
        <v>5</v>
      </c>
      <c r="D32" s="12">
        <v>0</v>
      </c>
      <c r="E32" s="1" t="s">
        <v>6</v>
      </c>
      <c r="F32" s="12">
        <v>24</v>
      </c>
    </row>
    <row r="33" spans="1:6" x14ac:dyDescent="0.35">
      <c r="A33" s="7" t="s">
        <v>138</v>
      </c>
      <c r="B33" s="12">
        <v>20034</v>
      </c>
      <c r="C33" s="1" t="s">
        <v>5</v>
      </c>
      <c r="D33" s="12">
        <v>0</v>
      </c>
      <c r="E33" s="1" t="s">
        <v>6</v>
      </c>
      <c r="F33" s="12">
        <v>24</v>
      </c>
    </row>
    <row r="34" spans="1:6" x14ac:dyDescent="0.35">
      <c r="A34" s="7" t="s">
        <v>139</v>
      </c>
      <c r="B34" s="12">
        <v>20036</v>
      </c>
      <c r="C34" s="1" t="s">
        <v>5</v>
      </c>
      <c r="D34" s="12">
        <v>0</v>
      </c>
      <c r="E34" s="1" t="s">
        <v>6</v>
      </c>
      <c r="F34" s="12">
        <v>24</v>
      </c>
    </row>
    <row r="35" spans="1:6" x14ac:dyDescent="0.35">
      <c r="A35" s="7" t="s">
        <v>140</v>
      </c>
      <c r="B35" s="12">
        <v>20038</v>
      </c>
      <c r="C35" s="1" t="s">
        <v>5</v>
      </c>
      <c r="D35" s="12">
        <v>0</v>
      </c>
      <c r="E35" s="1" t="s">
        <v>6</v>
      </c>
      <c r="F35" s="12">
        <v>24</v>
      </c>
    </row>
    <row r="36" spans="1:6" x14ac:dyDescent="0.35">
      <c r="A36" s="7" t="s">
        <v>141</v>
      </c>
      <c r="B36" s="12">
        <v>20040</v>
      </c>
      <c r="C36" s="1" t="s">
        <v>5</v>
      </c>
      <c r="D36" s="12">
        <v>0</v>
      </c>
      <c r="E36" s="1" t="s">
        <v>6</v>
      </c>
      <c r="F36" s="12">
        <v>24</v>
      </c>
    </row>
    <row r="37" spans="1:6" x14ac:dyDescent="0.35">
      <c r="A37" s="7" t="s">
        <v>142</v>
      </c>
      <c r="B37" s="12">
        <v>20042</v>
      </c>
      <c r="C37" s="1" t="s">
        <v>5</v>
      </c>
      <c r="D37" s="12">
        <v>0</v>
      </c>
      <c r="E37" s="1" t="s">
        <v>6</v>
      </c>
      <c r="F37" s="12">
        <v>24</v>
      </c>
    </row>
    <row r="38" spans="1:6" x14ac:dyDescent="0.35">
      <c r="A38" s="7" t="s">
        <v>143</v>
      </c>
      <c r="B38" s="12">
        <v>20044</v>
      </c>
      <c r="C38" s="1" t="s">
        <v>5</v>
      </c>
      <c r="D38" s="12">
        <v>0</v>
      </c>
      <c r="E38" s="1" t="s">
        <v>6</v>
      </c>
      <c r="F38" s="12">
        <v>24</v>
      </c>
    </row>
    <row r="39" spans="1:6" x14ac:dyDescent="0.35">
      <c r="A39" s="7" t="s">
        <v>144</v>
      </c>
      <c r="B39" s="12">
        <v>20046</v>
      </c>
      <c r="C39" s="1" t="s">
        <v>5</v>
      </c>
      <c r="D39" s="12">
        <v>0</v>
      </c>
      <c r="E39" s="1" t="s">
        <v>6</v>
      </c>
      <c r="F39" s="12">
        <v>24</v>
      </c>
    </row>
    <row r="40" spans="1:6" x14ac:dyDescent="0.35">
      <c r="A40" s="7" t="s">
        <v>145</v>
      </c>
      <c r="B40" s="12">
        <v>20048</v>
      </c>
      <c r="C40" s="1" t="s">
        <v>5</v>
      </c>
      <c r="D40" s="12">
        <v>0</v>
      </c>
      <c r="E40" s="1" t="s">
        <v>6</v>
      </c>
      <c r="F40" s="12">
        <v>24</v>
      </c>
    </row>
    <row r="41" spans="1:6" x14ac:dyDescent="0.35">
      <c r="A41" s="7" t="s">
        <v>146</v>
      </c>
      <c r="B41" s="12">
        <v>20050</v>
      </c>
      <c r="C41" s="1" t="s">
        <v>5</v>
      </c>
      <c r="D41" s="12">
        <v>0</v>
      </c>
      <c r="E41" s="1" t="s">
        <v>6</v>
      </c>
      <c r="F41" s="12">
        <v>24</v>
      </c>
    </row>
    <row r="42" spans="1:6" x14ac:dyDescent="0.35">
      <c r="A42" s="7" t="s">
        <v>147</v>
      </c>
      <c r="B42" s="12">
        <v>20052</v>
      </c>
      <c r="C42" s="1" t="s">
        <v>5</v>
      </c>
      <c r="D42" s="12">
        <v>0</v>
      </c>
      <c r="E42" s="1" t="s">
        <v>6</v>
      </c>
      <c r="F42" s="12">
        <v>24</v>
      </c>
    </row>
    <row r="43" spans="1:6" x14ac:dyDescent="0.35">
      <c r="A43" s="7" t="s">
        <v>148</v>
      </c>
      <c r="B43" s="12">
        <v>20054</v>
      </c>
      <c r="C43" s="1" t="s">
        <v>5</v>
      </c>
      <c r="D43" s="12">
        <v>0</v>
      </c>
      <c r="E43" s="1" t="s">
        <v>6</v>
      </c>
      <c r="F43" s="12">
        <v>24</v>
      </c>
    </row>
    <row r="44" spans="1:6" x14ac:dyDescent="0.35">
      <c r="A44" s="7" t="s">
        <v>149</v>
      </c>
      <c r="B44" s="12">
        <v>20058</v>
      </c>
      <c r="C44" s="1" t="s">
        <v>5</v>
      </c>
      <c r="D44" s="12">
        <v>0</v>
      </c>
      <c r="E44" s="1" t="s">
        <v>6</v>
      </c>
      <c r="F44" s="12">
        <v>24</v>
      </c>
    </row>
    <row r="45" spans="1:6" x14ac:dyDescent="0.35">
      <c r="A45" s="7" t="s">
        <v>150</v>
      </c>
      <c r="B45" s="12">
        <v>20060</v>
      </c>
      <c r="C45" s="1" t="s">
        <v>5</v>
      </c>
      <c r="D45" s="12">
        <v>0</v>
      </c>
      <c r="E45" s="1" t="s">
        <v>6</v>
      </c>
      <c r="F45" s="12">
        <v>24</v>
      </c>
    </row>
    <row r="46" spans="1:6" x14ac:dyDescent="0.35">
      <c r="A46" s="7" t="s">
        <v>112</v>
      </c>
      <c r="B46" s="12">
        <v>21000</v>
      </c>
      <c r="C46" s="1" t="s">
        <v>5</v>
      </c>
      <c r="D46" s="12">
        <v>0</v>
      </c>
      <c r="E46" s="1" t="s">
        <v>6</v>
      </c>
      <c r="F46" s="12">
        <v>24</v>
      </c>
    </row>
    <row r="47" spans="1:6" x14ac:dyDescent="0.35">
      <c r="A47" s="7" t="s">
        <v>113</v>
      </c>
      <c r="B47" s="12">
        <v>21002</v>
      </c>
      <c r="C47" s="1" t="s">
        <v>5</v>
      </c>
      <c r="D47" s="12">
        <v>0</v>
      </c>
      <c r="E47" s="1" t="s">
        <v>6</v>
      </c>
      <c r="F47" s="12">
        <v>24</v>
      </c>
    </row>
    <row r="48" spans="1:6" x14ac:dyDescent="0.35">
      <c r="A48" s="7" t="s">
        <v>114</v>
      </c>
      <c r="B48" s="12">
        <v>21004</v>
      </c>
      <c r="C48" s="1" t="s">
        <v>5</v>
      </c>
      <c r="D48" s="12">
        <v>0</v>
      </c>
      <c r="E48" s="1" t="s">
        <v>6</v>
      </c>
      <c r="F48" s="12">
        <v>24</v>
      </c>
    </row>
    <row r="49" spans="1:6" x14ac:dyDescent="0.35">
      <c r="A49" s="7" t="s">
        <v>115</v>
      </c>
      <c r="B49" s="12">
        <v>21006</v>
      </c>
      <c r="C49" s="1" t="s">
        <v>5</v>
      </c>
      <c r="D49" s="12">
        <v>0</v>
      </c>
      <c r="E49" s="1" t="s">
        <v>6</v>
      </c>
      <c r="F49" s="12">
        <v>24</v>
      </c>
    </row>
    <row r="50" spans="1:6" x14ac:dyDescent="0.35">
      <c r="A50" s="7" t="s">
        <v>116</v>
      </c>
      <c r="B50" s="12">
        <v>21008</v>
      </c>
      <c r="C50" s="1" t="s">
        <v>5</v>
      </c>
      <c r="D50" s="12">
        <v>0</v>
      </c>
      <c r="E50" s="1" t="s">
        <v>6</v>
      </c>
      <c r="F50" s="12">
        <v>24</v>
      </c>
    </row>
    <row r="51" spans="1:6" x14ac:dyDescent="0.35">
      <c r="A51" s="7" t="s">
        <v>117</v>
      </c>
      <c r="B51" s="12">
        <v>21010</v>
      </c>
      <c r="C51" s="1" t="s">
        <v>5</v>
      </c>
      <c r="D51" s="12">
        <v>0</v>
      </c>
      <c r="E51" s="1" t="s">
        <v>6</v>
      </c>
      <c r="F51" s="12">
        <v>24</v>
      </c>
    </row>
    <row r="52" spans="1:6" x14ac:dyDescent="0.35">
      <c r="A52" s="7" t="s">
        <v>118</v>
      </c>
      <c r="B52" s="12">
        <v>21012</v>
      </c>
      <c r="C52" s="1" t="s">
        <v>5</v>
      </c>
      <c r="D52" s="12">
        <v>0</v>
      </c>
      <c r="E52" s="1" t="s">
        <v>6</v>
      </c>
      <c r="F52" s="12">
        <v>24</v>
      </c>
    </row>
    <row r="53" spans="1:6" x14ac:dyDescent="0.35">
      <c r="A53" s="7" t="s">
        <v>119</v>
      </c>
      <c r="B53" s="12">
        <v>21014</v>
      </c>
      <c r="C53" s="1" t="s">
        <v>5</v>
      </c>
      <c r="D53" s="12">
        <v>0</v>
      </c>
      <c r="E53" s="1" t="s">
        <v>6</v>
      </c>
      <c r="F53" s="12">
        <v>24</v>
      </c>
    </row>
    <row r="54" spans="1:6" x14ac:dyDescent="0.35">
      <c r="A54" s="9" t="s">
        <v>120</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C23" sqref="C23"/>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5">
      <c r="A1" s="42" t="s">
        <v>85</v>
      </c>
      <c r="B1" s="41" t="s">
        <v>167</v>
      </c>
    </row>
    <row r="2" spans="1:4" ht="18.5" x14ac:dyDescent="0.45">
      <c r="B2" s="40" t="s">
        <v>166</v>
      </c>
    </row>
    <row r="5" spans="1:4" ht="14.5" x14ac:dyDescent="0.35">
      <c r="B5" s="1" t="s">
        <v>151</v>
      </c>
    </row>
    <row r="6" spans="1:4" ht="14.5" x14ac:dyDescent="0.35">
      <c r="A6" s="3" t="s">
        <v>53</v>
      </c>
      <c r="B6" s="1"/>
    </row>
    <row r="7" spans="1:4" ht="14.5" x14ac:dyDescent="0.35">
      <c r="A7" s="3" t="s">
        <v>153</v>
      </c>
      <c r="B7" s="1"/>
    </row>
    <row r="10" spans="1:4" ht="23.5" x14ac:dyDescent="0.55000000000000004">
      <c r="A10" s="18" t="s">
        <v>162</v>
      </c>
    </row>
    <row r="11" spans="1:4" ht="14.5" x14ac:dyDescent="0.35">
      <c r="A11" s="33" t="s">
        <v>86</v>
      </c>
      <c r="B11" s="17" t="s">
        <v>87</v>
      </c>
      <c r="C11" s="17" t="s">
        <v>88</v>
      </c>
    </row>
    <row r="12" spans="1:4" ht="14.5" x14ac:dyDescent="0.35">
      <c r="A12" s="33">
        <v>44927</v>
      </c>
      <c r="B12" s="17" t="s">
        <v>59</v>
      </c>
      <c r="C12" s="17">
        <v>200</v>
      </c>
      <c r="D12" s="2">
        <f>IFERROR(C12,20)</f>
        <v>200</v>
      </c>
    </row>
    <row r="13" spans="1:4" ht="14.5" x14ac:dyDescent="0.35">
      <c r="A13" s="33">
        <v>44928</v>
      </c>
      <c r="B13" s="17" t="s">
        <v>60</v>
      </c>
      <c r="C13" s="17" t="e">
        <v>#N/A</v>
      </c>
      <c r="D13" s="2">
        <f t="shared" ref="D13:D21" si="0">IFERROR(C13,20)</f>
        <v>20</v>
      </c>
    </row>
    <row r="14" spans="1:4" ht="14.5" x14ac:dyDescent="0.35">
      <c r="A14" s="33">
        <v>44929</v>
      </c>
      <c r="B14" s="17" t="s">
        <v>61</v>
      </c>
      <c r="C14" s="17">
        <v>50</v>
      </c>
      <c r="D14" s="2">
        <f t="shared" si="0"/>
        <v>50</v>
      </c>
    </row>
    <row r="15" spans="1:4" ht="14.5" x14ac:dyDescent="0.35">
      <c r="A15" s="33">
        <v>44930</v>
      </c>
      <c r="B15" s="17" t="s">
        <v>62</v>
      </c>
      <c r="C15" s="17" t="e">
        <v>#N/A</v>
      </c>
      <c r="D15" s="2">
        <f t="shared" si="0"/>
        <v>20</v>
      </c>
    </row>
    <row r="16" spans="1:4" ht="14.5" x14ac:dyDescent="0.35">
      <c r="A16" s="33">
        <v>44931</v>
      </c>
      <c r="B16" s="17" t="s">
        <v>63</v>
      </c>
      <c r="C16" s="17">
        <v>10</v>
      </c>
      <c r="D16" s="2">
        <f t="shared" si="0"/>
        <v>10</v>
      </c>
    </row>
    <row r="17" spans="1:4" ht="14.5" x14ac:dyDescent="0.35">
      <c r="A17" s="33">
        <v>44932</v>
      </c>
      <c r="B17" s="17" t="s">
        <v>154</v>
      </c>
      <c r="C17" s="17">
        <v>150</v>
      </c>
      <c r="D17" s="2">
        <f t="shared" si="0"/>
        <v>150</v>
      </c>
    </row>
    <row r="18" spans="1:4" ht="14.5" x14ac:dyDescent="0.35">
      <c r="A18" s="33">
        <v>44933</v>
      </c>
      <c r="B18" s="17" t="s">
        <v>155</v>
      </c>
      <c r="C18" s="17">
        <v>80</v>
      </c>
      <c r="D18" s="2">
        <f t="shared" si="0"/>
        <v>80</v>
      </c>
    </row>
    <row r="19" spans="1:4" ht="14.5" x14ac:dyDescent="0.35">
      <c r="A19" s="33">
        <v>44934</v>
      </c>
      <c r="B19" s="17" t="s">
        <v>156</v>
      </c>
      <c r="C19" s="17" t="e">
        <v>#N/A</v>
      </c>
      <c r="D19" s="2">
        <f t="shared" si="0"/>
        <v>20</v>
      </c>
    </row>
    <row r="20" spans="1:4" ht="14.5" x14ac:dyDescent="0.35">
      <c r="A20" s="33">
        <v>44935</v>
      </c>
      <c r="B20" s="17" t="s">
        <v>157</v>
      </c>
      <c r="C20" s="17">
        <v>30</v>
      </c>
      <c r="D20" s="2">
        <f t="shared" si="0"/>
        <v>30</v>
      </c>
    </row>
    <row r="21" spans="1:4" ht="14.5" x14ac:dyDescent="0.35">
      <c r="A21" s="33">
        <v>44936</v>
      </c>
      <c r="B21" s="17" t="s">
        <v>158</v>
      </c>
      <c r="C21" s="17" t="e">
        <v>#N/A</v>
      </c>
      <c r="D21" s="2">
        <f t="shared" si="0"/>
        <v>20</v>
      </c>
    </row>
    <row r="22" spans="1:4" ht="14.5" x14ac:dyDescent="0.35">
      <c r="B22" s="17" t="s">
        <v>159</v>
      </c>
      <c r="C22" s="25">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6"/>
  <sheetViews>
    <sheetView tabSelected="1" topLeftCell="A15" zoomScaleNormal="100" workbookViewId="0">
      <selection activeCell="C33" sqref="C33"/>
    </sheetView>
  </sheetViews>
  <sheetFormatPr defaultColWidth="11" defaultRowHeight="13" x14ac:dyDescent="0.3"/>
  <cols>
    <col min="1" max="1" width="28.19921875" style="2" bestFit="1" customWidth="1"/>
    <col min="2" max="16384" width="11" style="2"/>
  </cols>
  <sheetData>
    <row r="1" spans="1:14" ht="21" x14ac:dyDescent="0.5">
      <c r="A1" s="42" t="s">
        <v>98</v>
      </c>
      <c r="B1" s="41" t="s">
        <v>175</v>
      </c>
    </row>
    <row r="3" spans="1:14" ht="14.5" x14ac:dyDescent="0.35">
      <c r="B3" s="1" t="s">
        <v>151</v>
      </c>
    </row>
    <row r="4" spans="1:14" ht="18.5" x14ac:dyDescent="0.45">
      <c r="A4" s="43" t="s">
        <v>53</v>
      </c>
      <c r="B4" s="1"/>
    </row>
    <row r="5" spans="1:14" ht="18.5" x14ac:dyDescent="0.45">
      <c r="A5" s="43" t="s">
        <v>153</v>
      </c>
      <c r="B5" s="1"/>
    </row>
    <row r="6" spans="1:14" ht="14.5" x14ac:dyDescent="0.35">
      <c r="A6" s="3"/>
      <c r="B6" s="1"/>
    </row>
    <row r="8" spans="1:14" ht="23.5" x14ac:dyDescent="0.55000000000000004">
      <c r="A8" s="18" t="s">
        <v>162</v>
      </c>
      <c r="M8" s="18" t="s">
        <v>163</v>
      </c>
    </row>
    <row r="9" spans="1:14" ht="14.5" x14ac:dyDescent="0.35">
      <c r="A9" s="46" t="s">
        <v>179</v>
      </c>
      <c r="B9" s="47" t="s">
        <v>89</v>
      </c>
      <c r="C9" s="47" t="s">
        <v>90</v>
      </c>
      <c r="D9" s="47" t="s">
        <v>91</v>
      </c>
      <c r="E9" s="47" t="s">
        <v>92</v>
      </c>
      <c r="F9" s="47" t="s">
        <v>93</v>
      </c>
      <c r="G9" s="47" t="s">
        <v>94</v>
      </c>
      <c r="H9" s="47" t="s">
        <v>95</v>
      </c>
      <c r="I9" s="47" t="s">
        <v>96</v>
      </c>
      <c r="J9" s="48" t="s">
        <v>97</v>
      </c>
      <c r="M9" s="52" t="s">
        <v>43</v>
      </c>
      <c r="N9" s="53" t="s">
        <v>99</v>
      </c>
    </row>
    <row r="10" spans="1:14" ht="14.5" x14ac:dyDescent="0.35">
      <c r="A10" s="45" t="s">
        <v>89</v>
      </c>
      <c r="B10" s="25">
        <v>-1</v>
      </c>
      <c r="C10" s="25">
        <v>95</v>
      </c>
      <c r="D10" s="25">
        <v>-1</v>
      </c>
      <c r="E10" s="25">
        <v>185</v>
      </c>
      <c r="F10" s="25">
        <v>255</v>
      </c>
      <c r="G10" s="25">
        <v>305</v>
      </c>
      <c r="H10" s="25">
        <v>415</v>
      </c>
      <c r="I10" s="25">
        <v>480</v>
      </c>
      <c r="J10" s="38">
        <v>525</v>
      </c>
      <c r="M10" s="8">
        <v>10100</v>
      </c>
      <c r="N10" s="7" t="s">
        <v>89</v>
      </c>
    </row>
    <row r="11" spans="1:14" ht="14.5" x14ac:dyDescent="0.35">
      <c r="A11" s="45" t="s">
        <v>90</v>
      </c>
      <c r="B11" s="25">
        <v>95</v>
      </c>
      <c r="C11" s="25">
        <v>-1</v>
      </c>
      <c r="D11" s="25">
        <v>-1</v>
      </c>
      <c r="E11" s="25">
        <v>90</v>
      </c>
      <c r="F11" s="25">
        <v>160</v>
      </c>
      <c r="G11" s="25">
        <v>210</v>
      </c>
      <c r="H11" s="25">
        <v>325</v>
      </c>
      <c r="I11" s="25">
        <v>390</v>
      </c>
      <c r="J11" s="38">
        <v>430</v>
      </c>
      <c r="M11" s="8">
        <v>10102</v>
      </c>
      <c r="N11" s="7" t="s">
        <v>90</v>
      </c>
    </row>
    <row r="12" spans="1:14" ht="14.5" x14ac:dyDescent="0.35">
      <c r="A12" s="45" t="s">
        <v>91</v>
      </c>
      <c r="B12" s="25">
        <v>-1</v>
      </c>
      <c r="C12" s="25">
        <v>-1</v>
      </c>
      <c r="D12" s="25">
        <v>-1</v>
      </c>
      <c r="E12" s="25">
        <v>60</v>
      </c>
      <c r="F12" s="25">
        <v>130</v>
      </c>
      <c r="G12" s="25">
        <v>180</v>
      </c>
      <c r="H12" s="25">
        <v>295</v>
      </c>
      <c r="I12" s="25">
        <v>355</v>
      </c>
      <c r="J12" s="38">
        <v>400</v>
      </c>
      <c r="M12" s="8">
        <v>10104</v>
      </c>
      <c r="N12" s="7" t="s">
        <v>91</v>
      </c>
    </row>
    <row r="13" spans="1:14" ht="14.5" x14ac:dyDescent="0.35">
      <c r="A13" s="45" t="s">
        <v>92</v>
      </c>
      <c r="B13" s="25">
        <v>185</v>
      </c>
      <c r="C13" s="25">
        <v>90</v>
      </c>
      <c r="D13" s="25">
        <v>60</v>
      </c>
      <c r="E13" s="25">
        <v>-1</v>
      </c>
      <c r="F13" s="25">
        <v>70</v>
      </c>
      <c r="G13" s="25">
        <v>120</v>
      </c>
      <c r="H13" s="25">
        <v>235</v>
      </c>
      <c r="I13" s="25">
        <v>300</v>
      </c>
      <c r="J13" s="38">
        <v>340</v>
      </c>
      <c r="M13" s="8">
        <v>10106</v>
      </c>
      <c r="N13" s="7" t="s">
        <v>92</v>
      </c>
    </row>
    <row r="14" spans="1:14" ht="14.5" x14ac:dyDescent="0.35">
      <c r="A14" s="45" t="s">
        <v>93</v>
      </c>
      <c r="B14" s="25">
        <v>255</v>
      </c>
      <c r="C14" s="25">
        <v>160</v>
      </c>
      <c r="D14" s="25">
        <v>130</v>
      </c>
      <c r="E14" s="25">
        <v>70</v>
      </c>
      <c r="F14" s="25">
        <v>-1</v>
      </c>
      <c r="G14" s="25">
        <v>50</v>
      </c>
      <c r="H14" s="25">
        <v>165</v>
      </c>
      <c r="I14" s="25">
        <v>230</v>
      </c>
      <c r="J14" s="38">
        <v>270</v>
      </c>
      <c r="M14" s="8">
        <v>10108</v>
      </c>
      <c r="N14" s="7" t="s">
        <v>93</v>
      </c>
    </row>
    <row r="15" spans="1:14" ht="14.5" x14ac:dyDescent="0.35">
      <c r="A15" s="45" t="s">
        <v>94</v>
      </c>
      <c r="B15" s="25">
        <v>305</v>
      </c>
      <c r="C15" s="25">
        <v>210</v>
      </c>
      <c r="D15" s="25">
        <v>180</v>
      </c>
      <c r="E15" s="25">
        <v>120</v>
      </c>
      <c r="F15" s="25">
        <v>50</v>
      </c>
      <c r="G15" s="25">
        <v>-1</v>
      </c>
      <c r="H15" s="25">
        <v>115</v>
      </c>
      <c r="I15" s="25">
        <v>180</v>
      </c>
      <c r="J15" s="38">
        <v>220</v>
      </c>
      <c r="M15" s="8">
        <v>10110</v>
      </c>
      <c r="N15" s="7" t="s">
        <v>94</v>
      </c>
    </row>
    <row r="16" spans="1:14" ht="14.5" x14ac:dyDescent="0.35">
      <c r="A16" s="45" t="s">
        <v>95</v>
      </c>
      <c r="B16" s="25">
        <v>415</v>
      </c>
      <c r="C16" s="25">
        <v>325</v>
      </c>
      <c r="D16" s="25">
        <v>295</v>
      </c>
      <c r="E16" s="25">
        <v>235</v>
      </c>
      <c r="F16" s="25">
        <v>165</v>
      </c>
      <c r="G16" s="25">
        <v>115</v>
      </c>
      <c r="H16" s="25">
        <v>-1</v>
      </c>
      <c r="I16" s="25">
        <v>65</v>
      </c>
      <c r="J16" s="38">
        <v>105</v>
      </c>
      <c r="M16" s="8">
        <v>10112</v>
      </c>
      <c r="N16" s="7" t="s">
        <v>95</v>
      </c>
    </row>
    <row r="17" spans="1:14" ht="14.5" x14ac:dyDescent="0.35">
      <c r="A17" s="45" t="s">
        <v>96</v>
      </c>
      <c r="B17" s="25">
        <v>480</v>
      </c>
      <c r="C17" s="25">
        <v>390</v>
      </c>
      <c r="D17" s="25">
        <v>355</v>
      </c>
      <c r="E17" s="25">
        <v>300</v>
      </c>
      <c r="F17" s="25">
        <v>230</v>
      </c>
      <c r="G17" s="25">
        <v>180</v>
      </c>
      <c r="H17" s="25">
        <v>65</v>
      </c>
      <c r="I17" s="25">
        <v>-1</v>
      </c>
      <c r="J17" s="38">
        <v>40</v>
      </c>
      <c r="M17" s="8">
        <v>10114</v>
      </c>
      <c r="N17" s="7" t="s">
        <v>96</v>
      </c>
    </row>
    <row r="18" spans="1:14" ht="14.5" x14ac:dyDescent="0.35">
      <c r="A18" s="49" t="s">
        <v>97</v>
      </c>
      <c r="B18" s="50">
        <v>525</v>
      </c>
      <c r="C18" s="50">
        <v>430</v>
      </c>
      <c r="D18" s="50">
        <v>400</v>
      </c>
      <c r="E18" s="50">
        <v>340</v>
      </c>
      <c r="F18" s="50">
        <v>270</v>
      </c>
      <c r="G18" s="50">
        <v>220</v>
      </c>
      <c r="H18" s="50">
        <v>105</v>
      </c>
      <c r="I18" s="50">
        <v>40</v>
      </c>
      <c r="J18" s="51">
        <v>-1</v>
      </c>
      <c r="M18" s="8">
        <v>10116</v>
      </c>
      <c r="N18" s="7" t="s">
        <v>97</v>
      </c>
    </row>
    <row r="21" spans="1:14" ht="23.5" x14ac:dyDescent="0.55000000000000004">
      <c r="A21" s="18" t="s">
        <v>168</v>
      </c>
    </row>
    <row r="22" spans="1:14" ht="14.5" x14ac:dyDescent="0.35">
      <c r="A22" s="14" t="s">
        <v>100</v>
      </c>
      <c r="B22" s="17" t="s">
        <v>101</v>
      </c>
      <c r="C22" s="16" t="s">
        <v>102</v>
      </c>
    </row>
    <row r="23" spans="1:14" ht="14.5" x14ac:dyDescent="0.35">
      <c r="A23" s="7">
        <v>10100</v>
      </c>
      <c r="B23" s="12">
        <v>10102</v>
      </c>
      <c r="C23" s="54" t="e">
        <f>VLOOKUP(A10, Table_A[], 1, FALSE) * VLOOKUP(N10, Table_B[], 2, FALSE)</f>
        <v>#VALUE!</v>
      </c>
    </row>
    <row r="24" spans="1:14" ht="14.5" x14ac:dyDescent="0.35">
      <c r="A24" s="7">
        <v>10100</v>
      </c>
      <c r="B24" s="12">
        <v>10104</v>
      </c>
      <c r="C24" s="54" t="e">
        <f>VLOOKUP(A11, Table_A[], 1, FALSE) * VLOOKUP(N11, Table_B[], 2, FALSE)</f>
        <v>#VALUE!</v>
      </c>
    </row>
    <row r="25" spans="1:14" ht="14.5" x14ac:dyDescent="0.35">
      <c r="A25" s="7">
        <v>10108</v>
      </c>
      <c r="B25" s="12">
        <v>10102</v>
      </c>
      <c r="C25" s="54" t="e">
        <f>VLOOKUP(A12, Table_A[], 1, FALSE) * VLOOKUP(N12, Table_B[], 2, FALSE)</f>
        <v>#VALUE!</v>
      </c>
    </row>
    <row r="26" spans="1:14" ht="14.5" x14ac:dyDescent="0.35">
      <c r="A26" s="7">
        <v>10100</v>
      </c>
      <c r="B26" s="12">
        <v>10106</v>
      </c>
      <c r="C26" s="54" t="e">
        <f>VLOOKUP(A13, Table_A[], 1, FALSE) * VLOOKUP(N13, Table_B[], 2, FALSE)</f>
        <v>#VALUE!</v>
      </c>
    </row>
    <row r="27" spans="1:14" ht="14.5" x14ac:dyDescent="0.35">
      <c r="A27" s="7">
        <v>10108</v>
      </c>
      <c r="B27" s="12">
        <v>10110</v>
      </c>
      <c r="C27" s="54" t="e">
        <f>VLOOKUP(A14, Table_A[], 1, FALSE) * VLOOKUP(N14, Table_B[], 2, FALSE)</f>
        <v>#VALUE!</v>
      </c>
    </row>
    <row r="28" spans="1:14" ht="14.5" x14ac:dyDescent="0.35">
      <c r="A28" s="7">
        <v>10102</v>
      </c>
      <c r="B28" s="12">
        <v>10104</v>
      </c>
      <c r="C28" s="54" t="e">
        <f>VLOOKUP(A15, Table_A[], 1, FALSE) * VLOOKUP(N15, Table_B[], 2, FALSE)</f>
        <v>#VALUE!</v>
      </c>
    </row>
    <row r="29" spans="1:14" ht="14.5" x14ac:dyDescent="0.35">
      <c r="A29" s="7">
        <v>10106</v>
      </c>
      <c r="B29" s="12">
        <v>10108</v>
      </c>
      <c r="C29" s="54" t="e">
        <f>VLOOKUP(A16, Table_A[], 1, FALSE) * VLOOKUP(N16, Table_B[], 2, FALSE)</f>
        <v>#VALUE!</v>
      </c>
    </row>
    <row r="30" spans="1:14" ht="14.5" x14ac:dyDescent="0.35">
      <c r="A30" s="7">
        <v>10102</v>
      </c>
      <c r="B30" s="12">
        <v>10106</v>
      </c>
      <c r="C30" s="54" t="e">
        <f>VLOOKUP(A17, Table_A[], 1, FALSE) * VLOOKUP(N17, Table_B[], 2, FALSE)</f>
        <v>#VALUE!</v>
      </c>
    </row>
    <row r="31" spans="1:14" ht="14.5" x14ac:dyDescent="0.35">
      <c r="A31" s="7">
        <v>10110</v>
      </c>
      <c r="B31" s="12">
        <v>10114</v>
      </c>
      <c r="C31" s="54" t="e">
        <f>VLOOKUP(A18, Table_A[], 1, FALSE) * VLOOKUP(N18, Table_B[], 2, FALSE)</f>
        <v>#VALUE!</v>
      </c>
    </row>
    <row r="32" spans="1:14" ht="14.5" x14ac:dyDescent="0.35">
      <c r="A32" s="7">
        <v>10104</v>
      </c>
      <c r="B32" s="12">
        <v>10106</v>
      </c>
      <c r="C32" s="54" t="e">
        <f>VLOOKUP(A19, Table_A[], 1, FALSE) * VLOOKUP(N19, Table_B[], 2, FALSE)</f>
        <v>#N/A</v>
      </c>
    </row>
    <row r="33" spans="1:3" ht="14.5" x14ac:dyDescent="0.35">
      <c r="A33" s="7">
        <v>10110</v>
      </c>
      <c r="B33" s="12">
        <v>10112</v>
      </c>
      <c r="C33" s="54" t="e">
        <f>VLOOKUP(A20, Table_A[], 1, FALSE) * VLOOKUP(N20, Table_B[], 2, FALSE)</f>
        <v>#N/A</v>
      </c>
    </row>
    <row r="34" spans="1:3" ht="14.5" x14ac:dyDescent="0.35">
      <c r="A34" s="7">
        <v>10100</v>
      </c>
      <c r="B34" s="12">
        <v>10114</v>
      </c>
      <c r="C34" s="54" t="e">
        <f>VLOOKUP(A21, Table_A[], 1, FALSE) * VLOOKUP(N21, Table_B[], 2, FALSE)</f>
        <v>#N/A</v>
      </c>
    </row>
    <row r="35" spans="1:3" ht="14.5" x14ac:dyDescent="0.35">
      <c r="A35" s="9">
        <v>10112</v>
      </c>
      <c r="B35" s="13">
        <v>10116</v>
      </c>
      <c r="C35" s="54" t="e">
        <f>VLOOKUP(A22, Table_A[], 1, FALSE) * VLOOKUP(N22, Table_B[], 2, FALSE)</f>
        <v>#N/A</v>
      </c>
    </row>
    <row r="36" spans="1:3" x14ac:dyDescent="0.3">
      <c r="C36" s="54"/>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Dataset</vt:lpstr>
      <vt:lpstr>Task_1</vt:lpstr>
      <vt:lpstr>Task_2</vt:lpstr>
      <vt:lpstr>Task_3</vt:lpstr>
      <vt:lpstr>Task_4</vt:lpstr>
      <vt:lpstr>Task_5</vt:lpstr>
      <vt:lpstr>nmes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Prateek Kumar Singh</cp:lastModifiedBy>
  <dcterms:created xsi:type="dcterms:W3CDTF">2015-02-10T17:33:11Z</dcterms:created>
  <dcterms:modified xsi:type="dcterms:W3CDTF">2023-12-11T19:09:16Z</dcterms:modified>
</cp:coreProperties>
</file>